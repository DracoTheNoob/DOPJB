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00" firstSheet="1"/>
  </bookViews>
  <sheets>
    <sheet name="stat" sheetId="1" r:id="rId1"/>
    <sheet name="stuff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<sst xmlns="http://schemas.openxmlformats.org/spreadsheetml/2006/main" count="327" uniqueCount="166">
  <si>
    <t>Guerrier</t>
  </si>
  <si>
    <t>health</t>
  </si>
  <si>
    <t>attack</t>
  </si>
  <si>
    <t>defense</t>
  </si>
  <si>
    <t>critical</t>
  </si>
  <si>
    <t>accuracy</t>
  </si>
  <si>
    <t>dodge</t>
  </si>
  <si>
    <t>regeneration</t>
  </si>
  <si>
    <t>heal</t>
  </si>
  <si>
    <t>Pt</t>
  </si>
  <si>
    <t>%</t>
  </si>
  <si>
    <t>Arme</t>
  </si>
  <si>
    <t>Objet</t>
  </si>
  <si>
    <t>Identifiant</t>
  </si>
  <si>
    <t>Points de vie</t>
  </si>
  <si>
    <t>Attaque</t>
  </si>
  <si>
    <t>Défense</t>
  </si>
  <si>
    <t>Critique</t>
  </si>
  <si>
    <t>Précision</t>
  </si>
  <si>
    <t>Esquive</t>
  </si>
  <si>
    <t>Régénération</t>
  </si>
  <si>
    <t>Soin</t>
  </si>
  <si>
    <t>+</t>
  </si>
  <si>
    <t>-</t>
  </si>
  <si>
    <t>G0</t>
  </si>
  <si>
    <t>Voleur</t>
  </si>
  <si>
    <t>G1</t>
  </si>
  <si>
    <t>Mage</t>
  </si>
  <si>
    <t>regen</t>
  </si>
  <si>
    <t>G2</t>
  </si>
  <si>
    <t>Druide</t>
  </si>
  <si>
    <t>G3</t>
  </si>
  <si>
    <t>buff</t>
  </si>
  <si>
    <t>G4</t>
  </si>
  <si>
    <t>G5</t>
  </si>
  <si>
    <t>V0</t>
  </si>
  <si>
    <t>V1</t>
  </si>
  <si>
    <t>V2</t>
  </si>
  <si>
    <t>V3</t>
  </si>
  <si>
    <t>V4</t>
  </si>
  <si>
    <t>V5</t>
  </si>
  <si>
    <t>M0</t>
  </si>
  <si>
    <t>M1</t>
  </si>
  <si>
    <t>M2</t>
  </si>
  <si>
    <t>M3</t>
  </si>
  <si>
    <t>M4</t>
  </si>
  <si>
    <t>M5</t>
  </si>
  <si>
    <t>D0</t>
  </si>
  <si>
    <t>D1</t>
  </si>
  <si>
    <t>D2</t>
  </si>
  <si>
    <t>D3</t>
  </si>
  <si>
    <t>D4</t>
  </si>
  <si>
    <t>D5</t>
  </si>
  <si>
    <t>Mort-Vivant</t>
  </si>
  <si>
    <t>MV0</t>
  </si>
  <si>
    <t>MV1</t>
  </si>
  <si>
    <t>MV2</t>
  </si>
  <si>
    <t>Loup</t>
  </si>
  <si>
    <t>L0</t>
  </si>
  <si>
    <t>L1</t>
  </si>
  <si>
    <t>L2</t>
  </si>
  <si>
    <t>Pilleur</t>
  </si>
  <si>
    <t>P0</t>
  </si>
  <si>
    <t>P1</t>
  </si>
  <si>
    <t>P2</t>
  </si>
  <si>
    <t>Dragon</t>
  </si>
  <si>
    <t>DG0</t>
  </si>
  <si>
    <t>ARMES</t>
  </si>
  <si>
    <t>OBJETS</t>
  </si>
  <si>
    <t>identification</t>
  </si>
  <si>
    <t>caractéristiques</t>
  </si>
  <si>
    <t>id</t>
  </si>
  <si>
    <t>classes</t>
  </si>
  <si>
    <t>niveau</t>
  </si>
  <si>
    <t>nom</t>
  </si>
  <si>
    <t>ATK</t>
  </si>
  <si>
    <t>CRIT</t>
  </si>
  <si>
    <t>ACC</t>
  </si>
  <si>
    <t>HEAL</t>
  </si>
  <si>
    <t>HP</t>
  </si>
  <si>
    <t>DEF</t>
  </si>
  <si>
    <t>DDG</t>
  </si>
  <si>
    <t>RGN</t>
  </si>
  <si>
    <t>G</t>
  </si>
  <si>
    <t>X</t>
  </si>
  <si>
    <t>épée de fortune en bois</t>
  </si>
  <si>
    <t>armure rouillée</t>
  </si>
  <si>
    <t>V</t>
  </si>
  <si>
    <t>lance-pierres</t>
  </si>
  <si>
    <t>cape déchirée</t>
  </si>
  <si>
    <t>M</t>
  </si>
  <si>
    <t>petite baguette en bois</t>
  </si>
  <si>
    <t>rune mal dessinée</t>
  </si>
  <si>
    <t>D</t>
  </si>
  <si>
    <t>ver de terre de combat</t>
  </si>
  <si>
    <t>talisman en feuilles</t>
  </si>
  <si>
    <t>épée longue</t>
  </si>
  <si>
    <t>armure en acier recyclé</t>
  </si>
  <si>
    <t>épée courte</t>
  </si>
  <si>
    <t>cape grossière</t>
  </si>
  <si>
    <t>sceptre d'arc électrique</t>
  </si>
  <si>
    <t>rune magique commune</t>
  </si>
  <si>
    <t>oie énervée</t>
  </si>
  <si>
    <t>talisman en pierre brillante</t>
  </si>
  <si>
    <t>dague en acier</t>
  </si>
  <si>
    <t>gants de protection</t>
  </si>
  <si>
    <t>bâton d'invocation végétale</t>
  </si>
  <si>
    <t>amulette magique</t>
  </si>
  <si>
    <t>arc court</t>
  </si>
  <si>
    <t>bague magique</t>
  </si>
  <si>
    <t>marteau de guerre</t>
  </si>
  <si>
    <t>armure renforcée</t>
  </si>
  <si>
    <t xml:space="preserve">épée courte </t>
  </si>
  <si>
    <t>cape de maître voleur</t>
  </si>
  <si>
    <t>bâton de boule de feu</t>
  </si>
  <si>
    <t>rune rare</t>
  </si>
  <si>
    <t>renard</t>
  </si>
  <si>
    <t>talisman en bois de cerf</t>
  </si>
  <si>
    <t>dague de maître</t>
  </si>
  <si>
    <t>bottes de cuir</t>
  </si>
  <si>
    <t xml:space="preserve">bâton du tonnerre </t>
  </si>
  <si>
    <t>amulette enchantée</t>
  </si>
  <si>
    <t>arc long</t>
  </si>
  <si>
    <t>bague enchantée</t>
  </si>
  <si>
    <t>fléau d'arme de maître</t>
  </si>
  <si>
    <t>armure de plates</t>
  </si>
  <si>
    <t>lame empoisonnée</t>
  </si>
  <si>
    <t>cape enchantée</t>
  </si>
  <si>
    <t>sceptre d'orbe chromatique</t>
  </si>
  <si>
    <t>rune magnifique</t>
  </si>
  <si>
    <t>ours</t>
  </si>
  <si>
    <t>talisman de puissance sylvestre</t>
  </si>
  <si>
    <t>épée légère</t>
  </si>
  <si>
    <t>gantelets enchantés</t>
  </si>
  <si>
    <t>bâton de tempête</t>
  </si>
  <si>
    <t>amulette de l'ombre</t>
  </si>
  <si>
    <t>arc court enchanté</t>
  </si>
  <si>
    <t>bague démoniaque</t>
  </si>
  <si>
    <t>hache de guerre</t>
  </si>
  <si>
    <t>armure de diamant</t>
  </si>
  <si>
    <t>épée courte de démon</t>
  </si>
  <si>
    <t>cape diabolique</t>
  </si>
  <si>
    <t>baguette de faisceau de givre</t>
  </si>
  <si>
    <t>rune puissante</t>
  </si>
  <si>
    <t>meute de loups</t>
  </si>
  <si>
    <t>talisman de magie des éléments</t>
  </si>
  <si>
    <t>dague des fées</t>
  </si>
  <si>
    <t>bottes magiques</t>
  </si>
  <si>
    <t>bâton de colère des éléments</t>
  </si>
  <si>
    <t>amulette supérieure</t>
  </si>
  <si>
    <t>arc long enchanté</t>
  </si>
  <si>
    <t>bague de protection puissante</t>
  </si>
  <si>
    <t>épée de mithril</t>
  </si>
  <si>
    <t>armure de mithril</t>
  </si>
  <si>
    <t>dague de la malédiction</t>
  </si>
  <si>
    <t>cape du voleur légendaire</t>
  </si>
  <si>
    <t>sceptre du mot de mort</t>
  </si>
  <si>
    <t>rune de légende</t>
  </si>
  <si>
    <t>loup alpha démoniaque</t>
  </si>
  <si>
    <t>talisman dent de dragon</t>
  </si>
  <si>
    <t>lame de mort</t>
  </si>
  <si>
    <t>gants de maître d'arme</t>
  </si>
  <si>
    <t>bâton de pluie de feu</t>
  </si>
  <si>
    <t>amulette de sagesse des âges</t>
  </si>
  <si>
    <t>arc du tourment</t>
  </si>
  <si>
    <t>bague de légende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</si>
</sst>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23">
    <font>
      <sz val="11"/>
      <color theme="1"/>
      <name val="Calibri"/>
      <charset val="134"/>
      <scheme val="minor"/>
    </font>
    <font>
      <b/>
      <sz val="11"/>
      <color theme="0" tint="-0.0499893185216834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7" borderId="9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8" borderId="12" applyNumberFormat="0" applyAlignment="0" applyProtection="0">
      <alignment vertical="center"/>
    </xf>
    <xf numFmtId="0" fontId="13" fillId="19" borderId="13" applyNumberFormat="0" applyAlignment="0" applyProtection="0">
      <alignment vertical="center"/>
    </xf>
    <xf numFmtId="0" fontId="14" fillId="19" borderId="12" applyNumberFormat="0" applyAlignment="0" applyProtection="0">
      <alignment vertical="center"/>
    </xf>
    <xf numFmtId="0" fontId="15" fillId="20" borderId="14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</cellStyleXfs>
  <cellXfs count="68">
    <xf numFmtId="0" fontId="0" fillId="0" borderId="0" xfId="0"/>
    <xf numFmtId="0" fontId="0" fillId="0" borderId="0" xfId="0" applyFill="1" applyBorder="1"/>
    <xf numFmtId="0" fontId="0" fillId="0" borderId="0" xfId="0" applyBorder="1" applyAlignment="1">
      <alignment horizontal="center"/>
    </xf>
    <xf numFmtId="9" fontId="0" fillId="0" borderId="0" xfId="0" applyNumberFormat="1" applyBorder="1" applyAlignment="1">
      <alignment horizontal="center"/>
    </xf>
    <xf numFmtId="0" fontId="0" fillId="0" borderId="0" xfId="0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9" fontId="1" fillId="2" borderId="2" xfId="0" applyNumberFormat="1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9" fontId="0" fillId="3" borderId="0" xfId="0" applyNumberFormat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9" fontId="0" fillId="4" borderId="6" xfId="0" applyNumberFormat="1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4" xfId="0" applyFont="1" applyFill="1" applyBorder="1" applyAlignment="1">
      <alignment horizontal="left" indent="1"/>
    </xf>
    <xf numFmtId="1" fontId="0" fillId="0" borderId="0" xfId="0" applyNumberFormat="1" applyFont="1" applyFill="1" applyBorder="1" applyAlignment="1">
      <alignment horizontal="center"/>
    </xf>
    <xf numFmtId="9" fontId="0" fillId="0" borderId="0" xfId="0" applyNumberFormat="1" applyFont="1" applyFill="1" applyBorder="1" applyAlignment="1">
      <alignment horizontal="center"/>
    </xf>
    <xf numFmtId="0" fontId="0" fillId="0" borderId="5" xfId="0" applyFont="1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7" xfId="0" applyFont="1" applyFill="1" applyBorder="1" applyAlignment="1">
      <alignment horizontal="left" indent="1"/>
    </xf>
    <xf numFmtId="1" fontId="0" fillId="0" borderId="6" xfId="0" applyNumberFormat="1" applyFont="1" applyFill="1" applyBorder="1" applyAlignment="1">
      <alignment horizontal="center"/>
    </xf>
    <xf numFmtId="9" fontId="0" fillId="0" borderId="6" xfId="0" applyNumberFormat="1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9" fontId="0" fillId="0" borderId="0" xfId="0" applyNumberForma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1" fontId="0" fillId="0" borderId="4" xfId="0" applyNumberFormat="1" applyFont="1" applyFill="1" applyBorder="1" applyAlignment="1">
      <alignment horizontal="center"/>
    </xf>
    <xf numFmtId="0" fontId="0" fillId="0" borderId="4" xfId="0" applyFill="1" applyBorder="1" applyAlignment="1">
      <alignment horizontal="left" indent="1"/>
    </xf>
    <xf numFmtId="1" fontId="0" fillId="0" borderId="7" xfId="0" applyNumberFormat="1" applyFon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0" xfId="0" applyNumberFormat="1" applyFont="1" applyFill="1" applyBorder="1" applyAlignment="1" applyProtection="1">
      <alignment horizontal="center"/>
    </xf>
    <xf numFmtId="9" fontId="0" fillId="0" borderId="0" xfId="0" applyNumberFormat="1"/>
    <xf numFmtId="0" fontId="2" fillId="5" borderId="0" xfId="0" applyFont="1" applyFill="1" applyAlignment="1">
      <alignment horizontal="center"/>
    </xf>
    <xf numFmtId="9" fontId="2" fillId="5" borderId="0" xfId="0" applyNumberFormat="1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3" fillId="6" borderId="0" xfId="0" applyFont="1" applyFill="1" applyBorder="1" applyAlignment="1">
      <alignment horizontal="center"/>
    </xf>
    <xf numFmtId="9" fontId="3" fillId="6" borderId="0" xfId="0" applyNumberFormat="1" applyFont="1" applyFill="1" applyBorder="1" applyAlignment="1">
      <alignment horizontal="center"/>
    </xf>
    <xf numFmtId="1" fontId="0" fillId="7" borderId="0" xfId="0" applyNumberFormat="1" applyFill="1" applyAlignment="1">
      <alignment horizontal="center"/>
    </xf>
    <xf numFmtId="1" fontId="0" fillId="7" borderId="0" xfId="0" applyNumberFormat="1" applyFill="1" applyBorder="1" applyAlignment="1">
      <alignment horizontal="center"/>
    </xf>
    <xf numFmtId="9" fontId="0" fillId="7" borderId="0" xfId="0" applyNumberFormat="1" applyFill="1" applyBorder="1" applyAlignment="1">
      <alignment horizontal="center"/>
    </xf>
    <xf numFmtId="9" fontId="0" fillId="7" borderId="0" xfId="0" applyNumberFormat="1" applyFont="1" applyFill="1" applyBorder="1" applyAlignment="1" applyProtection="1">
      <alignment horizontal="center"/>
    </xf>
    <xf numFmtId="1" fontId="0" fillId="8" borderId="0" xfId="0" applyNumberFormat="1" applyFill="1" applyAlignment="1">
      <alignment horizontal="center"/>
    </xf>
    <xf numFmtId="1" fontId="0" fillId="8" borderId="0" xfId="0" applyNumberFormat="1" applyFill="1" applyBorder="1" applyAlignment="1">
      <alignment horizontal="center"/>
    </xf>
    <xf numFmtId="9" fontId="0" fillId="8" borderId="0" xfId="0" applyNumberFormat="1" applyFill="1" applyBorder="1" applyAlignment="1">
      <alignment horizontal="center"/>
    </xf>
    <xf numFmtId="0" fontId="2" fillId="9" borderId="0" xfId="0" applyFont="1" applyFill="1" applyAlignment="1">
      <alignment horizontal="center"/>
    </xf>
    <xf numFmtId="9" fontId="2" fillId="9" borderId="0" xfId="0" applyNumberFormat="1" applyFont="1" applyFill="1" applyAlignment="1">
      <alignment horizontal="center"/>
    </xf>
    <xf numFmtId="0" fontId="3" fillId="10" borderId="0" xfId="0" applyFont="1" applyFill="1" applyAlignment="1">
      <alignment horizontal="center"/>
    </xf>
    <xf numFmtId="0" fontId="3" fillId="10" borderId="0" xfId="0" applyFont="1" applyFill="1" applyBorder="1" applyAlignment="1">
      <alignment horizontal="center"/>
    </xf>
    <xf numFmtId="9" fontId="3" fillId="10" borderId="0" xfId="0" applyNumberFormat="1" applyFont="1" applyFill="1" applyBorder="1" applyAlignment="1">
      <alignment horizontal="center"/>
    </xf>
    <xf numFmtId="1" fontId="0" fillId="11" borderId="0" xfId="0" applyNumberFormat="1" applyFill="1" applyAlignment="1">
      <alignment horizontal="center"/>
    </xf>
    <xf numFmtId="1" fontId="0" fillId="11" borderId="0" xfId="0" applyNumberFormat="1" applyFill="1" applyBorder="1" applyAlignment="1">
      <alignment horizontal="center"/>
    </xf>
    <xf numFmtId="9" fontId="0" fillId="11" borderId="0" xfId="0" applyNumberFormat="1" applyFill="1" applyBorder="1" applyAlignment="1">
      <alignment horizontal="center"/>
    </xf>
    <xf numFmtId="1" fontId="0" fillId="12" borderId="0" xfId="0" applyNumberFormat="1" applyFill="1" applyAlignment="1">
      <alignment horizontal="center"/>
    </xf>
    <xf numFmtId="1" fontId="0" fillId="12" borderId="0" xfId="0" applyNumberFormat="1" applyFill="1" applyBorder="1" applyAlignment="1">
      <alignment horizontal="center"/>
    </xf>
    <xf numFmtId="9" fontId="0" fillId="12" borderId="0" xfId="0" applyNumberFormat="1" applyFill="1" applyBorder="1" applyAlignment="1">
      <alignment horizontal="center"/>
    </xf>
    <xf numFmtId="1" fontId="0" fillId="0" borderId="0" xfId="0" applyNumberFormat="1" applyFill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0" fillId="13" borderId="0" xfId="0" applyFill="1"/>
    <xf numFmtId="0" fontId="0" fillId="14" borderId="0" xfId="0" applyFill="1" applyAlignment="1">
      <alignment horizontal="center"/>
    </xf>
    <xf numFmtId="9" fontId="0" fillId="14" borderId="0" xfId="0" applyNumberFormat="1" applyFill="1" applyAlignment="1">
      <alignment horizontal="center"/>
    </xf>
    <xf numFmtId="0" fontId="0" fillId="15" borderId="0" xfId="0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0" fillId="16" borderId="0" xfId="0" applyFill="1" applyAlignment="1">
      <alignment horizontal="center"/>
    </xf>
    <xf numFmtId="0" fontId="0" fillId="0" borderId="0" xfId="0" applyFill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0">
    <dxf>
      <font>
        <color theme="0" tint="-0.349986266670736"/>
      </font>
      <fill>
        <patternFill patternType="solid">
          <bgColor theme="0" tint="-0.0499893185216834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theme="0"/>
      </font>
      <fill>
        <patternFill patternType="solid">
          <bgColor rgb="FFC8191E"/>
        </patternFill>
      </fill>
    </dxf>
    <dxf>
      <font>
        <color theme="0"/>
      </font>
      <fill>
        <patternFill patternType="solid">
          <bgColor rgb="FFFF8728"/>
        </patternFill>
      </fill>
    </dxf>
    <dxf>
      <font>
        <color theme="0"/>
      </font>
      <fill>
        <patternFill patternType="solid">
          <bgColor rgb="FF6478FF"/>
        </patternFill>
      </fill>
    </dxf>
    <dxf>
      <font>
        <color theme="0"/>
      </font>
      <fill>
        <patternFill patternType="solid">
          <bgColor rgb="FF46C864"/>
        </patternFill>
      </fill>
    </dxf>
    <dxf>
      <font>
        <color theme="1"/>
      </font>
      <fill>
        <patternFill patternType="solid">
          <bgColor theme="1"/>
        </patternFill>
      </fill>
    </dxf>
    <dxf>
      <fill>
        <patternFill patternType="solid">
          <bgColor theme="8" tint="0.6"/>
        </patternFill>
      </fill>
    </dxf>
    <dxf>
      <fill>
        <patternFill patternType="solid">
          <bgColor theme="8" tint="0.4"/>
        </patternFill>
      </fill>
    </dxf>
  </dxfs>
  <tableStyles count="0" defaultTableStyle="TableStyleMedium2" defaultPivotStyle="PivotStyleMedium9"/>
  <colors>
    <mruColors>
      <color rgb="00C75AB5"/>
      <color rgb="0046C864"/>
      <color rgb="0046FF64"/>
      <color rgb="006478FF"/>
      <color rgb="00FF8728"/>
      <color rgb="00C8191E"/>
      <color rgb="00FF191E"/>
      <color rgb="0096141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58"/>
  <sheetViews>
    <sheetView tabSelected="1" zoomScale="85" zoomScaleNormal="85" topLeftCell="A13" workbookViewId="0">
      <selection activeCell="E50" sqref="E50"/>
    </sheetView>
  </sheetViews>
  <sheetFormatPr defaultColWidth="15" defaultRowHeight="15"/>
  <cols>
    <col min="1" max="3" width="15" customWidth="1"/>
    <col min="4" max="4" width="15" style="34" customWidth="1"/>
    <col min="5" max="9" width="15" customWidth="1"/>
    <col min="10" max="10" width="1.71428571428571" customWidth="1"/>
    <col min="11" max="19" width="12.7142857142857" customWidth="1"/>
    <col min="20" max="20" width="1.71428571428571" customWidth="1"/>
    <col min="21" max="22" width="15" customWidth="1"/>
    <col min="23" max="23" width="1.71428571428571" customWidth="1"/>
    <col min="24" max="16383" width="15" customWidth="1"/>
  </cols>
  <sheetData>
    <row r="1" customHeight="1" spans="1:25">
      <c r="A1" s="35" t="s">
        <v>0</v>
      </c>
      <c r="B1" s="35"/>
      <c r="C1" s="35"/>
      <c r="D1" s="36"/>
      <c r="E1" s="35"/>
      <c r="F1" s="35"/>
      <c r="G1" s="35"/>
      <c r="H1" s="35"/>
      <c r="I1" s="35"/>
      <c r="K1" s="60"/>
      <c r="L1" s="61" t="s">
        <v>1</v>
      </c>
      <c r="M1" s="61" t="s">
        <v>2</v>
      </c>
      <c r="N1" s="62" t="s">
        <v>3</v>
      </c>
      <c r="O1" s="61" t="s">
        <v>4</v>
      </c>
      <c r="P1" s="61" t="s">
        <v>5</v>
      </c>
      <c r="Q1" s="61" t="s">
        <v>6</v>
      </c>
      <c r="R1" s="61" t="s">
        <v>7</v>
      </c>
      <c r="S1" s="61" t="s">
        <v>8</v>
      </c>
      <c r="U1" s="61" t="s">
        <v>9</v>
      </c>
      <c r="V1" s="61" t="s">
        <v>10</v>
      </c>
      <c r="X1" s="61" t="s">
        <v>11</v>
      </c>
      <c r="Y1" s="61" t="s">
        <v>12</v>
      </c>
    </row>
    <row r="2" customHeight="1" spans="1:25">
      <c r="A2" s="37" t="s">
        <v>13</v>
      </c>
      <c r="B2" s="38" t="s">
        <v>14</v>
      </c>
      <c r="C2" s="38" t="s">
        <v>15</v>
      </c>
      <c r="D2" s="39" t="s">
        <v>16</v>
      </c>
      <c r="E2" s="38" t="s">
        <v>17</v>
      </c>
      <c r="F2" s="38" t="s">
        <v>18</v>
      </c>
      <c r="G2" s="38" t="s">
        <v>19</v>
      </c>
      <c r="H2" s="38" t="s">
        <v>20</v>
      </c>
      <c r="I2" s="38" t="s">
        <v>21</v>
      </c>
      <c r="K2" s="63" t="s">
        <v>0</v>
      </c>
      <c r="L2" s="64" t="s">
        <v>22</v>
      </c>
      <c r="M2" s="64"/>
      <c r="N2" s="65" t="s">
        <v>22</v>
      </c>
      <c r="O2" s="64"/>
      <c r="P2" s="64"/>
      <c r="Q2" s="64" t="s">
        <v>23</v>
      </c>
      <c r="R2" s="64"/>
      <c r="S2" s="64"/>
      <c r="U2" s="66" t="s">
        <v>1</v>
      </c>
      <c r="V2" s="66" t="s">
        <v>3</v>
      </c>
      <c r="X2" s="66" t="s">
        <v>2</v>
      </c>
      <c r="Y2" s="66" t="s">
        <v>1</v>
      </c>
    </row>
    <row r="3" customHeight="1" spans="1:25">
      <c r="A3" s="40" t="s">
        <v>24</v>
      </c>
      <c r="B3" s="41">
        <v>100</v>
      </c>
      <c r="C3" s="41">
        <v>9</v>
      </c>
      <c r="D3" s="42">
        <v>0.05</v>
      </c>
      <c r="E3" s="42">
        <v>0.05</v>
      </c>
      <c r="F3" s="42">
        <v>0.75</v>
      </c>
      <c r="G3" s="43">
        <v>0.01</v>
      </c>
      <c r="H3" s="41">
        <v>0</v>
      </c>
      <c r="I3" s="41">
        <v>0</v>
      </c>
      <c r="K3" s="63" t="s">
        <v>25</v>
      </c>
      <c r="L3" s="64"/>
      <c r="M3" s="64"/>
      <c r="N3" s="65" t="s">
        <v>23</v>
      </c>
      <c r="O3" s="64" t="s">
        <v>22</v>
      </c>
      <c r="P3" s="64"/>
      <c r="Q3" s="64" t="s">
        <v>22</v>
      </c>
      <c r="R3" s="64"/>
      <c r="S3" s="64"/>
      <c r="U3" s="66" t="s">
        <v>2</v>
      </c>
      <c r="V3" s="66" t="s">
        <v>4</v>
      </c>
      <c r="X3" s="66" t="s">
        <v>4</v>
      </c>
      <c r="Y3" s="66" t="s">
        <v>3</v>
      </c>
    </row>
    <row r="4" customHeight="1" spans="1:25">
      <c r="A4" s="44" t="s">
        <v>26</v>
      </c>
      <c r="B4" s="45">
        <v>120</v>
      </c>
      <c r="C4" s="45">
        <v>13</v>
      </c>
      <c r="D4" s="46">
        <v>0.08</v>
      </c>
      <c r="E4" s="46">
        <v>0.06</v>
      </c>
      <c r="F4" s="46">
        <v>0.8</v>
      </c>
      <c r="G4" s="46">
        <v>0.02</v>
      </c>
      <c r="H4" s="45">
        <v>0</v>
      </c>
      <c r="I4" s="45">
        <v>0</v>
      </c>
      <c r="K4" s="63" t="s">
        <v>27</v>
      </c>
      <c r="L4" s="64"/>
      <c r="M4" s="64" t="s">
        <v>22</v>
      </c>
      <c r="N4" s="65"/>
      <c r="O4" s="64" t="s">
        <v>23</v>
      </c>
      <c r="P4" s="64"/>
      <c r="Q4" s="64"/>
      <c r="R4" s="64"/>
      <c r="S4" s="64"/>
      <c r="U4" s="66" t="s">
        <v>28</v>
      </c>
      <c r="V4" s="66" t="s">
        <v>5</v>
      </c>
      <c r="X4" s="66" t="s">
        <v>5</v>
      </c>
      <c r="Y4" s="66" t="s">
        <v>6</v>
      </c>
    </row>
    <row r="5" customHeight="1" spans="1:25">
      <c r="A5" s="40" t="s">
        <v>29</v>
      </c>
      <c r="B5" s="41">
        <v>140</v>
      </c>
      <c r="C5" s="41">
        <v>17</v>
      </c>
      <c r="D5" s="42">
        <v>0.12</v>
      </c>
      <c r="E5" s="42">
        <v>0.07</v>
      </c>
      <c r="F5" s="42">
        <v>0.84</v>
      </c>
      <c r="G5" s="42">
        <v>0.03</v>
      </c>
      <c r="H5" s="41">
        <v>0</v>
      </c>
      <c r="I5" s="41">
        <v>0</v>
      </c>
      <c r="K5" s="63" t="s">
        <v>30</v>
      </c>
      <c r="L5" s="64"/>
      <c r="M5" s="64" t="s">
        <v>23</v>
      </c>
      <c r="N5" s="65"/>
      <c r="O5" s="64"/>
      <c r="P5" s="64"/>
      <c r="Q5" s="64"/>
      <c r="R5" s="64"/>
      <c r="S5" s="64" t="s">
        <v>22</v>
      </c>
      <c r="U5" s="66" t="s">
        <v>8</v>
      </c>
      <c r="V5" s="66" t="s">
        <v>6</v>
      </c>
      <c r="X5" s="66" t="s">
        <v>8</v>
      </c>
      <c r="Y5" s="66" t="s">
        <v>28</v>
      </c>
    </row>
    <row r="6" customHeight="1" spans="1:22">
      <c r="A6" s="44" t="s">
        <v>31</v>
      </c>
      <c r="B6" s="45">
        <v>160</v>
      </c>
      <c r="C6" s="45">
        <v>21</v>
      </c>
      <c r="D6" s="46">
        <v>0.15</v>
      </c>
      <c r="E6" s="46">
        <v>0.08</v>
      </c>
      <c r="F6" s="46">
        <v>0.88</v>
      </c>
      <c r="G6" s="46">
        <v>0.04</v>
      </c>
      <c r="H6" s="45">
        <v>0</v>
      </c>
      <c r="I6" s="45">
        <v>0</v>
      </c>
      <c r="N6" s="34"/>
      <c r="U6" s="67"/>
      <c r="V6" s="66" t="s">
        <v>32</v>
      </c>
    </row>
    <row r="7" customHeight="1" spans="1:9">
      <c r="A7" s="40" t="s">
        <v>33</v>
      </c>
      <c r="B7" s="41">
        <v>180</v>
      </c>
      <c r="C7" s="41">
        <v>15</v>
      </c>
      <c r="D7" s="42">
        <v>0.18</v>
      </c>
      <c r="E7" s="42">
        <v>0.09</v>
      </c>
      <c r="F7" s="42">
        <v>0.92</v>
      </c>
      <c r="G7" s="42">
        <v>0.05</v>
      </c>
      <c r="H7" s="41">
        <v>0</v>
      </c>
      <c r="I7" s="41">
        <v>0</v>
      </c>
    </row>
    <row r="8" customHeight="1" spans="1:9">
      <c r="A8" s="44" t="s">
        <v>34</v>
      </c>
      <c r="B8" s="45">
        <v>200</v>
      </c>
      <c r="C8" s="45">
        <v>29</v>
      </c>
      <c r="D8" s="46">
        <v>0.2</v>
      </c>
      <c r="E8" s="46">
        <v>0.1</v>
      </c>
      <c r="F8" s="46">
        <v>0.96</v>
      </c>
      <c r="G8" s="46">
        <v>0.06</v>
      </c>
      <c r="H8" s="45">
        <v>0</v>
      </c>
      <c r="I8" s="45">
        <v>0</v>
      </c>
    </row>
    <row r="9" customHeight="1" spans="1:9">
      <c r="A9" s="35" t="s">
        <v>25</v>
      </c>
      <c r="B9" s="35"/>
      <c r="C9" s="35"/>
      <c r="D9" s="36"/>
      <c r="E9" s="35"/>
      <c r="F9" s="35"/>
      <c r="G9" s="35"/>
      <c r="H9" s="35"/>
      <c r="I9" s="35"/>
    </row>
    <row r="10" customHeight="1" spans="1:9">
      <c r="A10" s="37" t="s">
        <v>13</v>
      </c>
      <c r="B10" s="38" t="s">
        <v>14</v>
      </c>
      <c r="C10" s="38" t="s">
        <v>15</v>
      </c>
      <c r="D10" s="39" t="s">
        <v>16</v>
      </c>
      <c r="E10" s="38" t="s">
        <v>17</v>
      </c>
      <c r="F10" s="38" t="s">
        <v>18</v>
      </c>
      <c r="G10" s="38" t="s">
        <v>19</v>
      </c>
      <c r="H10" s="38" t="s">
        <v>20</v>
      </c>
      <c r="I10" s="38" t="s">
        <v>21</v>
      </c>
    </row>
    <row r="11" customHeight="1" spans="1:9">
      <c r="A11" s="40" t="s">
        <v>35</v>
      </c>
      <c r="B11" s="41">
        <v>70</v>
      </c>
      <c r="C11" s="41">
        <v>15</v>
      </c>
      <c r="D11" s="42">
        <v>0.02</v>
      </c>
      <c r="E11" s="42">
        <v>0.05</v>
      </c>
      <c r="F11" s="42">
        <v>0.75</v>
      </c>
      <c r="G11" s="43">
        <v>0.15</v>
      </c>
      <c r="H11" s="41">
        <v>0</v>
      </c>
      <c r="I11" s="41">
        <v>0</v>
      </c>
    </row>
    <row r="12" customHeight="1" spans="1:9">
      <c r="A12" s="44" t="s">
        <v>36</v>
      </c>
      <c r="B12" s="45">
        <v>84</v>
      </c>
      <c r="C12" s="45">
        <v>20</v>
      </c>
      <c r="D12" s="46">
        <v>0.04</v>
      </c>
      <c r="E12" s="46">
        <v>0.08</v>
      </c>
      <c r="F12" s="46">
        <v>0.8</v>
      </c>
      <c r="G12" s="46">
        <v>0.17</v>
      </c>
      <c r="H12" s="45">
        <v>0</v>
      </c>
      <c r="I12" s="45">
        <v>0</v>
      </c>
    </row>
    <row r="13" customHeight="1" spans="1:9">
      <c r="A13" s="40" t="s">
        <v>37</v>
      </c>
      <c r="B13" s="41">
        <v>98</v>
      </c>
      <c r="C13" s="41">
        <v>24</v>
      </c>
      <c r="D13" s="42">
        <v>0.06</v>
      </c>
      <c r="E13" s="42">
        <v>0.11</v>
      </c>
      <c r="F13" s="42">
        <v>0.84</v>
      </c>
      <c r="G13" s="42">
        <v>0.2</v>
      </c>
      <c r="H13" s="41">
        <v>0</v>
      </c>
      <c r="I13" s="41">
        <v>0</v>
      </c>
    </row>
    <row r="14" customHeight="1" spans="1:9">
      <c r="A14" s="44" t="s">
        <v>38</v>
      </c>
      <c r="B14" s="45">
        <v>112</v>
      </c>
      <c r="C14" s="45">
        <v>28</v>
      </c>
      <c r="D14" s="46">
        <v>0.07</v>
      </c>
      <c r="E14" s="46">
        <v>0.14</v>
      </c>
      <c r="F14" s="46">
        <v>0.88</v>
      </c>
      <c r="G14" s="46">
        <v>0.23</v>
      </c>
      <c r="H14" s="45">
        <v>0</v>
      </c>
      <c r="I14" s="45">
        <v>0</v>
      </c>
    </row>
    <row r="15" customHeight="1" spans="1:9">
      <c r="A15" s="40" t="s">
        <v>39</v>
      </c>
      <c r="B15" s="41">
        <v>126</v>
      </c>
      <c r="C15" s="41">
        <v>66</v>
      </c>
      <c r="D15" s="42">
        <v>0.09</v>
      </c>
      <c r="E15" s="42">
        <v>0.17</v>
      </c>
      <c r="F15" s="42">
        <v>0.92</v>
      </c>
      <c r="G15" s="42">
        <v>0.24</v>
      </c>
      <c r="H15" s="41">
        <v>0</v>
      </c>
      <c r="I15" s="41">
        <v>0</v>
      </c>
    </row>
    <row r="16" customHeight="1" spans="1:9">
      <c r="A16" s="44" t="s">
        <v>40</v>
      </c>
      <c r="B16" s="45">
        <v>140</v>
      </c>
      <c r="C16" s="45">
        <v>85</v>
      </c>
      <c r="D16" s="46">
        <v>0.1</v>
      </c>
      <c r="E16" s="46">
        <v>0.2</v>
      </c>
      <c r="F16" s="46">
        <v>0.96</v>
      </c>
      <c r="G16" s="46">
        <v>0.25</v>
      </c>
      <c r="H16" s="45">
        <v>0</v>
      </c>
      <c r="I16" s="45">
        <v>0</v>
      </c>
    </row>
    <row r="17" customHeight="1" spans="1:9">
      <c r="A17" s="35" t="s">
        <v>27</v>
      </c>
      <c r="B17" s="35"/>
      <c r="C17" s="35"/>
      <c r="D17" s="36"/>
      <c r="E17" s="35"/>
      <c r="F17" s="35"/>
      <c r="G17" s="35"/>
      <c r="H17" s="35"/>
      <c r="I17" s="35"/>
    </row>
    <row r="18" customHeight="1" spans="1:9">
      <c r="A18" s="37" t="s">
        <v>13</v>
      </c>
      <c r="B18" s="38" t="s">
        <v>14</v>
      </c>
      <c r="C18" s="38" t="s">
        <v>15</v>
      </c>
      <c r="D18" s="39" t="s">
        <v>16</v>
      </c>
      <c r="E18" s="38" t="s">
        <v>17</v>
      </c>
      <c r="F18" s="38" t="s">
        <v>18</v>
      </c>
      <c r="G18" s="38" t="s">
        <v>19</v>
      </c>
      <c r="H18" s="38" t="s">
        <v>20</v>
      </c>
      <c r="I18" s="38" t="s">
        <v>21</v>
      </c>
    </row>
    <row r="19" customHeight="1" spans="1:9">
      <c r="A19" s="40" t="s">
        <v>41</v>
      </c>
      <c r="B19" s="41">
        <v>50</v>
      </c>
      <c r="C19" s="41">
        <v>15</v>
      </c>
      <c r="D19" s="42">
        <v>0.01</v>
      </c>
      <c r="E19" s="42">
        <v>0.05</v>
      </c>
      <c r="F19" s="42">
        <v>0.75</v>
      </c>
      <c r="G19" s="43">
        <v>0.08</v>
      </c>
      <c r="H19" s="41">
        <v>0</v>
      </c>
      <c r="I19" s="41">
        <v>0</v>
      </c>
    </row>
    <row r="20" customHeight="1" spans="1:9">
      <c r="A20" s="44" t="s">
        <v>42</v>
      </c>
      <c r="B20" s="45">
        <v>60</v>
      </c>
      <c r="C20" s="45">
        <v>20</v>
      </c>
      <c r="D20" s="46">
        <v>0.02</v>
      </c>
      <c r="E20" s="46">
        <v>0.08</v>
      </c>
      <c r="F20" s="46">
        <v>0.8</v>
      </c>
      <c r="G20" s="46">
        <v>0.09</v>
      </c>
      <c r="H20" s="45">
        <v>0</v>
      </c>
      <c r="I20" s="45">
        <v>0</v>
      </c>
    </row>
    <row r="21" customHeight="1" spans="1:9">
      <c r="A21" s="40" t="s">
        <v>43</v>
      </c>
      <c r="B21" s="41">
        <v>70</v>
      </c>
      <c r="C21" s="41">
        <v>24</v>
      </c>
      <c r="D21" s="42">
        <v>0.03</v>
      </c>
      <c r="E21" s="42">
        <v>0.11</v>
      </c>
      <c r="F21" s="42">
        <v>0.84</v>
      </c>
      <c r="G21" s="42">
        <v>0.09</v>
      </c>
      <c r="H21" s="41">
        <v>0</v>
      </c>
      <c r="I21" s="41">
        <v>0</v>
      </c>
    </row>
    <row r="22" customHeight="1" spans="1:9">
      <c r="A22" s="44" t="s">
        <v>44</v>
      </c>
      <c r="B22" s="45">
        <v>80</v>
      </c>
      <c r="C22" s="45">
        <v>28</v>
      </c>
      <c r="D22" s="46">
        <v>0.04</v>
      </c>
      <c r="E22" s="46">
        <v>0.14</v>
      </c>
      <c r="F22" s="46">
        <v>0.88</v>
      </c>
      <c r="G22" s="46">
        <v>0.1</v>
      </c>
      <c r="H22" s="45">
        <v>0</v>
      </c>
      <c r="I22" s="45">
        <v>0</v>
      </c>
    </row>
    <row r="23" customHeight="1" spans="1:9">
      <c r="A23" s="40" t="s">
        <v>45</v>
      </c>
      <c r="B23" s="41">
        <v>90</v>
      </c>
      <c r="C23" s="41">
        <v>33</v>
      </c>
      <c r="D23" s="42">
        <v>0.05</v>
      </c>
      <c r="E23" s="42">
        <v>0.17</v>
      </c>
      <c r="F23" s="42">
        <v>0.92</v>
      </c>
      <c r="G23" s="42">
        <v>0.1</v>
      </c>
      <c r="H23" s="41">
        <v>0</v>
      </c>
      <c r="I23" s="41">
        <v>0</v>
      </c>
    </row>
    <row r="24" customHeight="1" spans="1:9">
      <c r="A24" s="44" t="s">
        <v>46</v>
      </c>
      <c r="B24" s="45">
        <v>100</v>
      </c>
      <c r="C24" s="45">
        <v>38</v>
      </c>
      <c r="D24" s="46">
        <v>0.06</v>
      </c>
      <c r="E24" s="46">
        <v>0.2</v>
      </c>
      <c r="F24" s="46">
        <v>0.96</v>
      </c>
      <c r="G24" s="46">
        <v>0.1</v>
      </c>
      <c r="H24" s="45">
        <v>0</v>
      </c>
      <c r="I24" s="45">
        <v>0</v>
      </c>
    </row>
    <row r="25" customHeight="1" spans="1:9">
      <c r="A25" s="35" t="s">
        <v>30</v>
      </c>
      <c r="B25" s="35"/>
      <c r="C25" s="35"/>
      <c r="D25" s="36"/>
      <c r="E25" s="35"/>
      <c r="F25" s="35"/>
      <c r="G25" s="35"/>
      <c r="H25" s="35"/>
      <c r="I25" s="35"/>
    </row>
    <row r="26" customHeight="1" spans="1:9">
      <c r="A26" s="37" t="s">
        <v>13</v>
      </c>
      <c r="B26" s="38" t="s">
        <v>14</v>
      </c>
      <c r="C26" s="38" t="s">
        <v>15</v>
      </c>
      <c r="D26" s="39" t="s">
        <v>16</v>
      </c>
      <c r="E26" s="38" t="s">
        <v>17</v>
      </c>
      <c r="F26" s="38" t="s">
        <v>18</v>
      </c>
      <c r="G26" s="38" t="s">
        <v>19</v>
      </c>
      <c r="H26" s="38" t="s">
        <v>20</v>
      </c>
      <c r="I26" s="38" t="s">
        <v>21</v>
      </c>
    </row>
    <row r="27" customHeight="1" spans="1:9">
      <c r="A27" s="40" t="s">
        <v>47</v>
      </c>
      <c r="B27" s="41">
        <v>60</v>
      </c>
      <c r="C27" s="41">
        <v>7</v>
      </c>
      <c r="D27" s="42">
        <v>0.02</v>
      </c>
      <c r="E27" s="42">
        <v>0.05</v>
      </c>
      <c r="F27" s="42">
        <v>0.75</v>
      </c>
      <c r="G27" s="43">
        <v>0.09</v>
      </c>
      <c r="H27" s="41">
        <v>0</v>
      </c>
      <c r="I27" s="41">
        <v>10</v>
      </c>
    </row>
    <row r="28" customHeight="1" spans="1:9">
      <c r="A28" s="44" t="s">
        <v>48</v>
      </c>
      <c r="B28" s="45">
        <v>72</v>
      </c>
      <c r="C28" s="45">
        <v>10</v>
      </c>
      <c r="D28" s="46">
        <v>0.04</v>
      </c>
      <c r="E28" s="46">
        <v>0.06</v>
      </c>
      <c r="F28" s="46">
        <v>0.8</v>
      </c>
      <c r="G28" s="46">
        <v>0.1</v>
      </c>
      <c r="H28" s="45">
        <v>0</v>
      </c>
      <c r="I28" s="45">
        <v>12</v>
      </c>
    </row>
    <row r="29" customHeight="1" spans="1:9">
      <c r="A29" s="40" t="s">
        <v>49</v>
      </c>
      <c r="B29" s="41">
        <v>84</v>
      </c>
      <c r="C29" s="41">
        <v>13</v>
      </c>
      <c r="D29" s="42">
        <v>0.06</v>
      </c>
      <c r="E29" s="42">
        <v>0.07</v>
      </c>
      <c r="F29" s="42">
        <v>0.84</v>
      </c>
      <c r="G29" s="42">
        <v>0.11</v>
      </c>
      <c r="H29" s="41">
        <v>0</v>
      </c>
      <c r="I29" s="41">
        <v>15</v>
      </c>
    </row>
    <row r="30" customHeight="1" spans="1:9">
      <c r="A30" s="44" t="s">
        <v>50</v>
      </c>
      <c r="B30" s="45">
        <v>96</v>
      </c>
      <c r="C30" s="45">
        <v>16</v>
      </c>
      <c r="D30" s="46">
        <v>0.07</v>
      </c>
      <c r="E30" s="46">
        <v>0.08</v>
      </c>
      <c r="F30" s="46">
        <v>0.88</v>
      </c>
      <c r="G30" s="46">
        <v>0.12</v>
      </c>
      <c r="H30" s="45">
        <v>0</v>
      </c>
      <c r="I30" s="45">
        <v>20</v>
      </c>
    </row>
    <row r="31" customHeight="1" spans="1:9">
      <c r="A31" s="40" t="s">
        <v>51</v>
      </c>
      <c r="B31" s="41">
        <v>108</v>
      </c>
      <c r="C31" s="41">
        <v>19</v>
      </c>
      <c r="D31" s="42">
        <v>0.09</v>
      </c>
      <c r="E31" s="42">
        <v>0.09</v>
      </c>
      <c r="F31" s="42">
        <v>0.92</v>
      </c>
      <c r="G31" s="42">
        <v>0.13</v>
      </c>
      <c r="H31" s="41">
        <v>0</v>
      </c>
      <c r="I31" s="41">
        <v>25</v>
      </c>
    </row>
    <row r="32" customHeight="1" spans="1:9">
      <c r="A32" s="44" t="s">
        <v>52</v>
      </c>
      <c r="B32" s="45">
        <v>120</v>
      </c>
      <c r="C32" s="45">
        <v>22</v>
      </c>
      <c r="D32" s="46">
        <v>0.1</v>
      </c>
      <c r="E32" s="46">
        <v>0.1</v>
      </c>
      <c r="F32" s="46">
        <v>0.96</v>
      </c>
      <c r="G32" s="46">
        <v>0.14</v>
      </c>
      <c r="H32" s="45">
        <v>0</v>
      </c>
      <c r="I32" s="45">
        <v>32</v>
      </c>
    </row>
    <row r="33" customHeight="1" spans="1:8">
      <c r="A33" s="47" t="s">
        <v>53</v>
      </c>
      <c r="B33" s="47"/>
      <c r="C33" s="47"/>
      <c r="D33" s="48"/>
      <c r="E33" s="47"/>
      <c r="F33" s="47"/>
      <c r="G33" s="47"/>
      <c r="H33" s="47"/>
    </row>
    <row r="34" customHeight="1" spans="1:8">
      <c r="A34" s="49" t="s">
        <v>13</v>
      </c>
      <c r="B34" s="50" t="s">
        <v>14</v>
      </c>
      <c r="C34" s="50" t="s">
        <v>15</v>
      </c>
      <c r="D34" s="51" t="s">
        <v>16</v>
      </c>
      <c r="E34" s="50" t="s">
        <v>17</v>
      </c>
      <c r="F34" s="50" t="s">
        <v>18</v>
      </c>
      <c r="G34" s="50" t="s">
        <v>19</v>
      </c>
      <c r="H34" s="50" t="s">
        <v>20</v>
      </c>
    </row>
    <row r="35" customHeight="1" spans="1:8">
      <c r="A35" s="52" t="s">
        <v>54</v>
      </c>
      <c r="B35" s="53">
        <v>250</v>
      </c>
      <c r="C35" s="53">
        <v>80</v>
      </c>
      <c r="D35" s="54">
        <v>0.25</v>
      </c>
      <c r="E35" s="54">
        <v>0.08</v>
      </c>
      <c r="F35" s="54">
        <v>0.92</v>
      </c>
      <c r="G35" s="54">
        <v>0.01</v>
      </c>
      <c r="H35" s="53">
        <v>30</v>
      </c>
    </row>
    <row r="36" customHeight="1" spans="1:8">
      <c r="A36" s="55" t="s">
        <v>55</v>
      </c>
      <c r="B36" s="56">
        <v>350</v>
      </c>
      <c r="C36" s="56">
        <v>95</v>
      </c>
      <c r="D36" s="57">
        <v>0.35</v>
      </c>
      <c r="E36" s="57">
        <v>0.1</v>
      </c>
      <c r="F36" s="57">
        <v>0.96</v>
      </c>
      <c r="G36" s="57">
        <v>0.02</v>
      </c>
      <c r="H36" s="56">
        <v>35</v>
      </c>
    </row>
    <row r="37" customHeight="1" spans="1:8">
      <c r="A37" s="52" t="s">
        <v>56</v>
      </c>
      <c r="B37" s="53">
        <v>450</v>
      </c>
      <c r="C37" s="53">
        <v>110</v>
      </c>
      <c r="D37" s="54">
        <v>0.45</v>
      </c>
      <c r="E37" s="54">
        <v>0.12</v>
      </c>
      <c r="F37" s="54">
        <v>1</v>
      </c>
      <c r="G37" s="54">
        <v>0.03</v>
      </c>
      <c r="H37" s="53">
        <v>60</v>
      </c>
    </row>
    <row r="38" customHeight="1" spans="1:8">
      <c r="A38" s="47" t="s">
        <v>57</v>
      </c>
      <c r="B38" s="47"/>
      <c r="C38" s="47"/>
      <c r="D38" s="48"/>
      <c r="E38" s="47"/>
      <c r="F38" s="47"/>
      <c r="G38" s="47"/>
      <c r="H38" s="47"/>
    </row>
    <row r="39" customHeight="1" spans="1:8">
      <c r="A39" s="49" t="s">
        <v>13</v>
      </c>
      <c r="B39" s="50" t="s">
        <v>14</v>
      </c>
      <c r="C39" s="50" t="s">
        <v>15</v>
      </c>
      <c r="D39" s="51" t="s">
        <v>16</v>
      </c>
      <c r="E39" s="50" t="s">
        <v>17</v>
      </c>
      <c r="F39" s="50" t="s">
        <v>18</v>
      </c>
      <c r="G39" s="50" t="s">
        <v>19</v>
      </c>
      <c r="H39" s="50" t="s">
        <v>20</v>
      </c>
    </row>
    <row r="40" customHeight="1" spans="1:8">
      <c r="A40" s="52" t="s">
        <v>58</v>
      </c>
      <c r="B40" s="53">
        <v>200</v>
      </c>
      <c r="C40" s="53">
        <v>55</v>
      </c>
      <c r="D40" s="54">
        <v>0.25</v>
      </c>
      <c r="E40" s="54">
        <v>0.1</v>
      </c>
      <c r="F40" s="54">
        <v>0.88</v>
      </c>
      <c r="G40" s="54">
        <v>0.15</v>
      </c>
      <c r="H40" s="53">
        <v>0</v>
      </c>
    </row>
    <row r="41" customHeight="1" spans="1:8">
      <c r="A41" s="55" t="s">
        <v>59</v>
      </c>
      <c r="B41" s="56">
        <v>250</v>
      </c>
      <c r="C41" s="56">
        <v>80</v>
      </c>
      <c r="D41" s="57">
        <v>0.35</v>
      </c>
      <c r="E41" s="57">
        <v>0.15</v>
      </c>
      <c r="F41" s="57">
        <v>0.92</v>
      </c>
      <c r="G41" s="57">
        <v>0.25</v>
      </c>
      <c r="H41" s="56">
        <v>0</v>
      </c>
    </row>
    <row r="42" customHeight="1" spans="1:8">
      <c r="A42" s="52" t="s">
        <v>60</v>
      </c>
      <c r="B42" s="53">
        <v>350</v>
      </c>
      <c r="C42" s="53">
        <v>105</v>
      </c>
      <c r="D42" s="54">
        <v>0.45</v>
      </c>
      <c r="E42" s="54">
        <v>0.2</v>
      </c>
      <c r="F42" s="54">
        <v>0.96</v>
      </c>
      <c r="G42" s="54">
        <v>0.35</v>
      </c>
      <c r="H42" s="53">
        <v>0</v>
      </c>
    </row>
    <row r="43" customHeight="1" spans="1:8">
      <c r="A43" s="47" t="s">
        <v>61</v>
      </c>
      <c r="B43" s="47"/>
      <c r="C43" s="47"/>
      <c r="D43" s="48"/>
      <c r="E43" s="47"/>
      <c r="F43" s="47"/>
      <c r="G43" s="47"/>
      <c r="H43" s="47"/>
    </row>
    <row r="44" customHeight="1" spans="1:8">
      <c r="A44" s="49" t="s">
        <v>13</v>
      </c>
      <c r="B44" s="50" t="s">
        <v>14</v>
      </c>
      <c r="C44" s="50" t="s">
        <v>15</v>
      </c>
      <c r="D44" s="51" t="s">
        <v>16</v>
      </c>
      <c r="E44" s="50" t="s">
        <v>17</v>
      </c>
      <c r="F44" s="50" t="s">
        <v>18</v>
      </c>
      <c r="G44" s="50" t="s">
        <v>19</v>
      </c>
      <c r="H44" s="50" t="s">
        <v>20</v>
      </c>
    </row>
    <row r="45" customHeight="1" spans="1:8">
      <c r="A45" s="52" t="s">
        <v>62</v>
      </c>
      <c r="B45" s="53">
        <v>150</v>
      </c>
      <c r="C45" s="53">
        <v>45</v>
      </c>
      <c r="D45" s="54">
        <v>0.15</v>
      </c>
      <c r="E45" s="54">
        <v>0.08</v>
      </c>
      <c r="F45" s="54">
        <v>0.75</v>
      </c>
      <c r="G45" s="54">
        <v>0.1</v>
      </c>
      <c r="H45" s="53">
        <v>0</v>
      </c>
    </row>
    <row r="46" customHeight="1" spans="1:8">
      <c r="A46" s="55" t="s">
        <v>63</v>
      </c>
      <c r="B46" s="56">
        <v>200</v>
      </c>
      <c r="C46" s="56">
        <v>70</v>
      </c>
      <c r="D46" s="57">
        <v>0.35</v>
      </c>
      <c r="E46" s="57">
        <v>0.12</v>
      </c>
      <c r="F46" s="57">
        <v>0.88</v>
      </c>
      <c r="G46" s="57">
        <v>0.2</v>
      </c>
      <c r="H46" s="56">
        <v>0</v>
      </c>
    </row>
    <row r="47" customHeight="1" spans="1:8">
      <c r="A47" s="52" t="s">
        <v>64</v>
      </c>
      <c r="B47" s="53">
        <v>300</v>
      </c>
      <c r="C47" s="53">
        <v>95</v>
      </c>
      <c r="D47" s="54">
        <v>0.5</v>
      </c>
      <c r="E47" s="54">
        <v>0.18</v>
      </c>
      <c r="F47" s="54">
        <v>0.96</v>
      </c>
      <c r="G47" s="54">
        <v>0.3</v>
      </c>
      <c r="H47" s="53">
        <v>0</v>
      </c>
    </row>
    <row r="48" customHeight="1" spans="1:8">
      <c r="A48" s="47" t="s">
        <v>65</v>
      </c>
      <c r="B48" s="47"/>
      <c r="C48" s="47"/>
      <c r="D48" s="48"/>
      <c r="E48" s="47"/>
      <c r="F48" s="47"/>
      <c r="G48" s="47"/>
      <c r="H48" s="47"/>
    </row>
    <row r="49" customHeight="1" spans="1:8">
      <c r="A49" s="49" t="s">
        <v>13</v>
      </c>
      <c r="B49" s="50" t="s">
        <v>14</v>
      </c>
      <c r="C49" s="50" t="s">
        <v>15</v>
      </c>
      <c r="D49" s="51" t="s">
        <v>16</v>
      </c>
      <c r="E49" s="50" t="s">
        <v>17</v>
      </c>
      <c r="F49" s="50" t="s">
        <v>18</v>
      </c>
      <c r="G49" s="50" t="s">
        <v>19</v>
      </c>
      <c r="H49" s="50" t="s">
        <v>20</v>
      </c>
    </row>
    <row r="50" customHeight="1" spans="1:8">
      <c r="A50" s="52" t="s">
        <v>66</v>
      </c>
      <c r="B50" s="53">
        <v>650</v>
      </c>
      <c r="C50" s="53">
        <v>1400</v>
      </c>
      <c r="D50" s="54">
        <v>0.6</v>
      </c>
      <c r="E50" s="54">
        <v>0.25</v>
      </c>
      <c r="F50" s="54">
        <v>0.85</v>
      </c>
      <c r="G50" s="54">
        <v>0</v>
      </c>
      <c r="H50" s="53">
        <v>0</v>
      </c>
    </row>
    <row r="51" spans="9:9">
      <c r="I51" s="59"/>
    </row>
    <row r="58" spans="1:9">
      <c r="A58" s="58"/>
      <c r="B58" s="59"/>
      <c r="C58" s="59"/>
      <c r="D58" s="27"/>
      <c r="E58" s="27"/>
      <c r="F58" s="27"/>
      <c r="G58" s="27"/>
      <c r="H58" s="59"/>
      <c r="I58" s="59"/>
    </row>
  </sheetData>
  <mergeCells count="8">
    <mergeCell ref="A1:I1"/>
    <mergeCell ref="A9:I9"/>
    <mergeCell ref="A17:I17"/>
    <mergeCell ref="A25:I25"/>
    <mergeCell ref="A33:H33"/>
    <mergeCell ref="A38:H38"/>
    <mergeCell ref="A43:H43"/>
    <mergeCell ref="A48:H48"/>
  </mergeCells>
  <conditionalFormatting sqref="L3">
    <cfRule type="cellIs" dxfId="0" priority="1" operator="equal">
      <formula>""</formula>
    </cfRule>
    <cfRule type="cellIs" dxfId="1" priority="2" operator="equal">
      <formula>"-"</formula>
    </cfRule>
    <cfRule type="cellIs" dxfId="2" priority="3" operator="equal">
      <formula>"+"</formula>
    </cfRule>
  </conditionalFormatting>
  <conditionalFormatting sqref="L4;L5:S5;L2;M2:S4">
    <cfRule type="cellIs" dxfId="0" priority="20" operator="equal">
      <formula>""</formula>
    </cfRule>
    <cfRule type="cellIs" dxfId="1" priority="21" operator="equal">
      <formula>"-"</formula>
    </cfRule>
    <cfRule type="cellIs" dxfId="2" priority="22" operator="equal">
      <formula>"+"</formula>
    </cfRule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6"/>
  <sheetViews>
    <sheetView zoomScale="130" zoomScaleNormal="130" workbookViewId="0">
      <selection activeCell="U6" sqref="U6"/>
    </sheetView>
  </sheetViews>
  <sheetFormatPr defaultColWidth="9" defaultRowHeight="15"/>
  <cols>
    <col min="1" max="1" width="5.28571428571429" style="2" customWidth="1"/>
    <col min="2" max="4" width="6.42857142857143" style="2" customWidth="1"/>
    <col min="5" max="5" width="30.7142857142857" style="2" customWidth="1"/>
    <col min="6" max="6" width="6.14285714285714" style="2" customWidth="1"/>
    <col min="7" max="8" width="6.14285714285714" style="3" customWidth="1"/>
    <col min="9" max="9" width="6.14285714285714" style="2" customWidth="1"/>
    <col min="10" max="10" width="2.14285714285714" style="4" customWidth="1"/>
    <col min="11" max="13" width="5.28571428571429" style="2" customWidth="1"/>
    <col min="14" max="14" width="6.42857142857143" style="2" customWidth="1"/>
    <col min="15" max="15" width="30.7142857142857" style="4" customWidth="1"/>
    <col min="16" max="16" width="6.14285714285714" style="2" customWidth="1"/>
    <col min="17" max="18" width="6.14285714285714" style="3" customWidth="1"/>
    <col min="19" max="19" width="6.14285714285714" style="2" customWidth="1"/>
    <col min="20" max="16384" width="9" style="4" customWidth="1"/>
  </cols>
  <sheetData>
    <row r="1" customHeight="1" spans="1:19">
      <c r="A1" s="5" t="s">
        <v>67</v>
      </c>
      <c r="B1" s="6"/>
      <c r="C1" s="6"/>
      <c r="D1" s="6"/>
      <c r="E1" s="6"/>
      <c r="F1" s="6"/>
      <c r="G1" s="7"/>
      <c r="H1" s="7"/>
      <c r="I1" s="28"/>
      <c r="J1" s="1"/>
      <c r="K1" s="5" t="s">
        <v>68</v>
      </c>
      <c r="L1" s="6"/>
      <c r="M1" s="6"/>
      <c r="N1" s="6"/>
      <c r="O1" s="6"/>
      <c r="P1" s="6"/>
      <c r="Q1" s="7"/>
      <c r="R1" s="7"/>
      <c r="S1" s="28"/>
    </row>
    <row r="2" customHeight="1" spans="1:19">
      <c r="A2" s="8" t="s">
        <v>69</v>
      </c>
      <c r="B2" s="9"/>
      <c r="C2" s="9"/>
      <c r="D2" s="9"/>
      <c r="E2" s="10"/>
      <c r="F2" s="9" t="s">
        <v>70</v>
      </c>
      <c r="G2" s="11"/>
      <c r="H2" s="11"/>
      <c r="I2" s="10"/>
      <c r="J2" s="1"/>
      <c r="K2" s="8" t="s">
        <v>69</v>
      </c>
      <c r="L2" s="9"/>
      <c r="M2" s="9"/>
      <c r="N2" s="9"/>
      <c r="O2" s="10"/>
      <c r="P2" s="9" t="s">
        <v>70</v>
      </c>
      <c r="Q2" s="11"/>
      <c r="R2" s="11"/>
      <c r="S2" s="10"/>
    </row>
    <row r="3" customHeight="1" spans="1:19">
      <c r="A3" s="12" t="s">
        <v>71</v>
      </c>
      <c r="B3" s="13" t="s">
        <v>72</v>
      </c>
      <c r="C3" s="13"/>
      <c r="D3" s="13" t="s">
        <v>73</v>
      </c>
      <c r="E3" s="14" t="s">
        <v>74</v>
      </c>
      <c r="F3" s="13" t="s">
        <v>75</v>
      </c>
      <c r="G3" s="15" t="s">
        <v>76</v>
      </c>
      <c r="H3" s="15" t="s">
        <v>77</v>
      </c>
      <c r="I3" s="14" t="s">
        <v>78</v>
      </c>
      <c r="J3" s="1"/>
      <c r="K3" s="12" t="str">
        <f t="shared" ref="K3:K8" si="0">A3</f>
        <v>id</v>
      </c>
      <c r="L3" s="13" t="str">
        <f>B3</f>
        <v>classes</v>
      </c>
      <c r="M3" s="13"/>
      <c r="N3" s="13" t="str">
        <f>D3</f>
        <v>niveau</v>
      </c>
      <c r="O3" s="14" t="str">
        <f>E3</f>
        <v>nom</v>
      </c>
      <c r="P3" s="13" t="s">
        <v>79</v>
      </c>
      <c r="Q3" s="15" t="s">
        <v>80</v>
      </c>
      <c r="R3" s="15" t="s">
        <v>81</v>
      </c>
      <c r="S3" s="14" t="s">
        <v>82</v>
      </c>
    </row>
    <row r="4" s="1" customFormat="1" customHeight="1" spans="1:19">
      <c r="A4" s="16" t="str">
        <f>CONCATENATE(_xlfn.SWITCH(CONCATENATE(B4,IF(C4="X","",C4)),"G",1,"V",2,"M",3,"D",4,"GV",5,"MD",6,"VD",7,"ERR"),D4)</f>
        <v>10</v>
      </c>
      <c r="B4" s="17" t="s">
        <v>83</v>
      </c>
      <c r="C4" s="17" t="s">
        <v>84</v>
      </c>
      <c r="D4" s="17">
        <v>0</v>
      </c>
      <c r="E4" s="18" t="s">
        <v>85</v>
      </c>
      <c r="F4" s="19">
        <v>18</v>
      </c>
      <c r="G4" s="20">
        <v>0</v>
      </c>
      <c r="H4" s="20">
        <v>-0.1</v>
      </c>
      <c r="I4" s="29">
        <v>0</v>
      </c>
      <c r="K4" s="16" t="str">
        <f t="shared" si="0"/>
        <v>10</v>
      </c>
      <c r="L4" s="17" t="str">
        <f>B4</f>
        <v>G</v>
      </c>
      <c r="M4" s="17" t="str">
        <f>C4</f>
        <v>X</v>
      </c>
      <c r="N4" s="17">
        <f>D4</f>
        <v>0</v>
      </c>
      <c r="O4" s="18" t="s">
        <v>86</v>
      </c>
      <c r="P4" s="19">
        <v>10</v>
      </c>
      <c r="Q4" s="20">
        <v>0.1</v>
      </c>
      <c r="R4" s="20">
        <v>-0.05</v>
      </c>
      <c r="S4" s="29">
        <v>0</v>
      </c>
    </row>
    <row r="5" s="1" customFormat="1" customHeight="1" spans="1:19">
      <c r="A5" s="16" t="str">
        <f>CONCATENATE(_xlfn.SWITCH(CONCATENATE(B5,IF(C5="X","",C5)),"G",1,"V",2,"M",3,"D",4,"GV",5,"MD",6,"VD",7,"ERR"),D5)</f>
        <v>20</v>
      </c>
      <c r="B5" s="17" t="s">
        <v>87</v>
      </c>
      <c r="C5" s="17" t="s">
        <v>84</v>
      </c>
      <c r="D5" s="17">
        <f>D4</f>
        <v>0</v>
      </c>
      <c r="E5" s="18" t="s">
        <v>88</v>
      </c>
      <c r="F5" s="19">
        <v>24</v>
      </c>
      <c r="G5" s="20">
        <v>0</v>
      </c>
      <c r="H5" s="20">
        <v>-0.1</v>
      </c>
      <c r="I5" s="29">
        <v>0</v>
      </c>
      <c r="K5" s="16" t="str">
        <f t="shared" si="0"/>
        <v>20</v>
      </c>
      <c r="L5" s="17" t="str">
        <f>B5</f>
        <v>V</v>
      </c>
      <c r="M5" s="17" t="str">
        <f>C5</f>
        <v>X</v>
      </c>
      <c r="N5" s="17">
        <f>D5</f>
        <v>0</v>
      </c>
      <c r="O5" s="18" t="s">
        <v>89</v>
      </c>
      <c r="P5" s="19">
        <v>7</v>
      </c>
      <c r="Q5" s="20">
        <v>0.03</v>
      </c>
      <c r="R5" s="20">
        <v>0.02</v>
      </c>
      <c r="S5" s="29">
        <v>0</v>
      </c>
    </row>
    <row r="6" s="1" customFormat="1" customHeight="1" spans="1:19">
      <c r="A6" s="16" t="str">
        <f>CONCATENATE(_xlfn.SWITCH(CONCATENATE(B6,IF(C6="X","",C6)),"G",1,"V",2,"M",3,"D",4,"GV",5,"MD",6,"VD",7,"ERR"),D6)</f>
        <v>30</v>
      </c>
      <c r="B6" s="17" t="s">
        <v>90</v>
      </c>
      <c r="C6" s="17" t="s">
        <v>84</v>
      </c>
      <c r="D6" s="17">
        <f>D5</f>
        <v>0</v>
      </c>
      <c r="E6" s="18" t="s">
        <v>91</v>
      </c>
      <c r="F6" s="19">
        <v>25</v>
      </c>
      <c r="G6" s="20">
        <v>0</v>
      </c>
      <c r="H6" s="20">
        <v>-0.1</v>
      </c>
      <c r="I6" s="29">
        <v>3</v>
      </c>
      <c r="K6" s="16" t="str">
        <f t="shared" si="0"/>
        <v>30</v>
      </c>
      <c r="L6" s="17" t="str">
        <f>B6</f>
        <v>M</v>
      </c>
      <c r="M6" s="17" t="str">
        <f>C6</f>
        <v>X</v>
      </c>
      <c r="N6" s="17">
        <f>D6</f>
        <v>0</v>
      </c>
      <c r="O6" s="18" t="s">
        <v>92</v>
      </c>
      <c r="P6" s="19">
        <v>5</v>
      </c>
      <c r="Q6" s="20">
        <v>0.02</v>
      </c>
      <c r="R6" s="20">
        <v>0</v>
      </c>
      <c r="S6" s="29">
        <v>0</v>
      </c>
    </row>
    <row r="7" s="1" customFormat="1" customHeight="1" spans="1:19">
      <c r="A7" s="16" t="str">
        <f>CONCATENATE(_xlfn.SWITCH(CONCATENATE(B7,IF(C7="X","",C7)),"G",1,"V",2,"M",3,"D",4,"GV",5,"MD",6,"VD",7,"ERR"),D7)</f>
        <v>40</v>
      </c>
      <c r="B7" s="17" t="s">
        <v>93</v>
      </c>
      <c r="C7" s="17" t="s">
        <v>84</v>
      </c>
      <c r="D7" s="17">
        <f>D6</f>
        <v>0</v>
      </c>
      <c r="E7" s="18" t="s">
        <v>94</v>
      </c>
      <c r="F7" s="19">
        <v>14</v>
      </c>
      <c r="G7" s="20">
        <v>0</v>
      </c>
      <c r="H7" s="20">
        <v>-0.1</v>
      </c>
      <c r="I7" s="29">
        <v>5</v>
      </c>
      <c r="K7" s="16" t="str">
        <f t="shared" si="0"/>
        <v>40</v>
      </c>
      <c r="L7" s="17" t="str">
        <f>B7</f>
        <v>D</v>
      </c>
      <c r="M7" s="17" t="str">
        <f>C7</f>
        <v>X</v>
      </c>
      <c r="N7" s="17">
        <f>D7</f>
        <v>0</v>
      </c>
      <c r="O7" s="18" t="s">
        <v>95</v>
      </c>
      <c r="P7" s="19">
        <v>6</v>
      </c>
      <c r="Q7" s="20">
        <v>0.03</v>
      </c>
      <c r="R7" s="20">
        <v>0</v>
      </c>
      <c r="S7" s="29">
        <v>2</v>
      </c>
    </row>
    <row r="8" s="1" customFormat="1" customHeight="1" spans="1:19">
      <c r="A8" s="16" t="str">
        <f t="shared" ref="A8:A42" si="1">CONCATENATE(_xlfn.SWITCH(CONCATENATE(B8,IF(C8="X","",C8)),"G",1,"V",2,"M",3,"D",4,"GV",5,"MD",6,"VD",7,"ERR"),D8)</f>
        <v>11</v>
      </c>
      <c r="B8" s="17" t="s">
        <v>83</v>
      </c>
      <c r="C8" s="17" t="s">
        <v>84</v>
      </c>
      <c r="D8" s="17">
        <f>D4+1</f>
        <v>1</v>
      </c>
      <c r="E8" s="18" t="s">
        <v>96</v>
      </c>
      <c r="F8" s="19">
        <v>31</v>
      </c>
      <c r="G8" s="20">
        <v>0</v>
      </c>
      <c r="H8" s="20">
        <v>-0.05</v>
      </c>
      <c r="I8" s="29">
        <v>0</v>
      </c>
      <c r="K8" s="16" t="str">
        <f t="shared" si="0"/>
        <v>11</v>
      </c>
      <c r="L8" s="17" t="str">
        <f t="shared" ref="L8:L42" si="2">B8</f>
        <v>G</v>
      </c>
      <c r="M8" s="17" t="str">
        <f t="shared" ref="M8:M42" si="3">C8</f>
        <v>X</v>
      </c>
      <c r="N8" s="17">
        <f t="shared" ref="N8:N42" si="4">D8</f>
        <v>1</v>
      </c>
      <c r="O8" s="18" t="s">
        <v>97</v>
      </c>
      <c r="P8" s="19">
        <v>20</v>
      </c>
      <c r="Q8" s="20">
        <v>0.15</v>
      </c>
      <c r="R8" s="20">
        <v>-0.03</v>
      </c>
      <c r="S8" s="29">
        <v>0</v>
      </c>
    </row>
    <row r="9" s="1" customFormat="1" customHeight="1" spans="1:19">
      <c r="A9" s="16" t="str">
        <f t="shared" si="1"/>
        <v>21</v>
      </c>
      <c r="B9" s="17" t="s">
        <v>87</v>
      </c>
      <c r="C9" s="17" t="s">
        <v>84</v>
      </c>
      <c r="D9" s="17">
        <f t="shared" ref="D8:D14" si="5">D8</f>
        <v>1</v>
      </c>
      <c r="E9" s="18" t="s">
        <v>98</v>
      </c>
      <c r="F9" s="19">
        <v>30</v>
      </c>
      <c r="G9" s="20">
        <v>0.05</v>
      </c>
      <c r="H9" s="20">
        <v>-0.05</v>
      </c>
      <c r="I9" s="29">
        <v>0</v>
      </c>
      <c r="K9" s="16" t="str">
        <f t="shared" ref="K9:K42" si="6">A9</f>
        <v>21</v>
      </c>
      <c r="L9" s="17" t="str">
        <f t="shared" si="2"/>
        <v>V</v>
      </c>
      <c r="M9" s="17" t="str">
        <f t="shared" si="3"/>
        <v>X</v>
      </c>
      <c r="N9" s="17">
        <f t="shared" si="4"/>
        <v>1</v>
      </c>
      <c r="O9" s="30" t="s">
        <v>99</v>
      </c>
      <c r="P9" s="17">
        <v>14</v>
      </c>
      <c r="Q9" s="27">
        <v>0.06</v>
      </c>
      <c r="R9" s="27">
        <v>0.04</v>
      </c>
      <c r="S9" s="32">
        <v>0</v>
      </c>
    </row>
    <row r="10" s="1" customFormat="1" customHeight="1" spans="1:19">
      <c r="A10" s="16" t="str">
        <f t="shared" si="1"/>
        <v>31</v>
      </c>
      <c r="B10" s="17" t="s">
        <v>90</v>
      </c>
      <c r="C10" s="17" t="s">
        <v>84</v>
      </c>
      <c r="D10" s="17">
        <f t="shared" si="5"/>
        <v>1</v>
      </c>
      <c r="E10" s="18" t="s">
        <v>100</v>
      </c>
      <c r="F10" s="19">
        <v>50</v>
      </c>
      <c r="G10" s="20">
        <v>0</v>
      </c>
      <c r="H10" s="20">
        <v>-0.05</v>
      </c>
      <c r="I10" s="29">
        <v>5</v>
      </c>
      <c r="K10" s="16" t="str">
        <f t="shared" si="6"/>
        <v>31</v>
      </c>
      <c r="L10" s="17" t="str">
        <f t="shared" si="2"/>
        <v>M</v>
      </c>
      <c r="M10" s="17" t="str">
        <f t="shared" si="3"/>
        <v>X</v>
      </c>
      <c r="N10" s="17">
        <f t="shared" si="4"/>
        <v>1</v>
      </c>
      <c r="O10" s="18" t="s">
        <v>101</v>
      </c>
      <c r="P10" s="19">
        <v>10</v>
      </c>
      <c r="Q10" s="20">
        <v>0.04</v>
      </c>
      <c r="R10" s="20">
        <v>0.01</v>
      </c>
      <c r="S10" s="29">
        <v>0</v>
      </c>
    </row>
    <row r="11" s="1" customFormat="1" customHeight="1" spans="1:19">
      <c r="A11" s="16" t="str">
        <f t="shared" si="1"/>
        <v>41</v>
      </c>
      <c r="B11" s="17" t="s">
        <v>93</v>
      </c>
      <c r="C11" s="17" t="s">
        <v>84</v>
      </c>
      <c r="D11" s="17">
        <f t="shared" si="5"/>
        <v>1</v>
      </c>
      <c r="E11" s="18" t="s">
        <v>102</v>
      </c>
      <c r="F11" s="19">
        <v>23</v>
      </c>
      <c r="G11" s="20">
        <v>0</v>
      </c>
      <c r="H11" s="20">
        <v>-0.05</v>
      </c>
      <c r="I11" s="29">
        <v>10</v>
      </c>
      <c r="K11" s="16" t="str">
        <f t="shared" si="6"/>
        <v>41</v>
      </c>
      <c r="L11" s="17" t="str">
        <f t="shared" si="2"/>
        <v>D</v>
      </c>
      <c r="M11" s="17" t="str">
        <f t="shared" si="3"/>
        <v>X</v>
      </c>
      <c r="N11" s="17">
        <f t="shared" si="4"/>
        <v>1</v>
      </c>
      <c r="O11" s="30" t="s">
        <v>103</v>
      </c>
      <c r="P11" s="17">
        <v>12</v>
      </c>
      <c r="Q11" s="27">
        <v>0.06</v>
      </c>
      <c r="R11" s="27">
        <v>0.01</v>
      </c>
      <c r="S11" s="32">
        <v>4</v>
      </c>
    </row>
    <row r="12" s="1" customFormat="1" customHeight="1" spans="1:26">
      <c r="A12" s="16" t="str">
        <f t="shared" si="1"/>
        <v>51</v>
      </c>
      <c r="B12" s="17" t="s">
        <v>83</v>
      </c>
      <c r="C12" s="17" t="s">
        <v>87</v>
      </c>
      <c r="D12" s="17">
        <f t="shared" si="5"/>
        <v>1</v>
      </c>
      <c r="E12" s="18" t="s">
        <v>104</v>
      </c>
      <c r="F12" s="19">
        <v>31</v>
      </c>
      <c r="G12" s="20">
        <v>0</v>
      </c>
      <c r="H12" s="20">
        <v>-0.05</v>
      </c>
      <c r="I12" s="29">
        <v>0</v>
      </c>
      <c r="K12" s="16" t="str">
        <f t="shared" si="6"/>
        <v>51</v>
      </c>
      <c r="L12" s="17" t="str">
        <f t="shared" si="2"/>
        <v>G</v>
      </c>
      <c r="M12" s="17" t="str">
        <f t="shared" si="3"/>
        <v>V</v>
      </c>
      <c r="N12" s="17">
        <f t="shared" si="4"/>
        <v>1</v>
      </c>
      <c r="O12" s="18" t="s">
        <v>105</v>
      </c>
      <c r="P12" s="19">
        <v>17</v>
      </c>
      <c r="Q12" s="20">
        <v>0.11</v>
      </c>
      <c r="R12" s="20">
        <v>0.01</v>
      </c>
      <c r="S12" s="29">
        <v>0</v>
      </c>
      <c r="U12" s="17"/>
      <c r="V12" s="17"/>
      <c r="W12" s="17"/>
      <c r="X12" s="17"/>
      <c r="Y12" s="17"/>
      <c r="Z12" s="17"/>
    </row>
    <row r="13" s="1" customFormat="1" customHeight="1" spans="1:19">
      <c r="A13" s="16" t="str">
        <f t="shared" si="1"/>
        <v>61</v>
      </c>
      <c r="B13" s="17" t="s">
        <v>90</v>
      </c>
      <c r="C13" s="17" t="s">
        <v>93</v>
      </c>
      <c r="D13" s="17">
        <f t="shared" si="5"/>
        <v>1</v>
      </c>
      <c r="E13" s="18" t="s">
        <v>106</v>
      </c>
      <c r="F13" s="19">
        <v>37</v>
      </c>
      <c r="G13" s="20">
        <v>0</v>
      </c>
      <c r="H13" s="20">
        <v>-0.05</v>
      </c>
      <c r="I13" s="29">
        <v>8</v>
      </c>
      <c r="K13" s="16" t="str">
        <f t="shared" si="6"/>
        <v>61</v>
      </c>
      <c r="L13" s="17" t="str">
        <f t="shared" si="2"/>
        <v>M</v>
      </c>
      <c r="M13" s="17" t="str">
        <f t="shared" si="3"/>
        <v>D</v>
      </c>
      <c r="N13" s="17">
        <f t="shared" si="4"/>
        <v>1</v>
      </c>
      <c r="O13" s="18" t="s">
        <v>107</v>
      </c>
      <c r="P13" s="19">
        <v>11</v>
      </c>
      <c r="Q13" s="20">
        <v>0.05</v>
      </c>
      <c r="R13" s="20">
        <v>0.01</v>
      </c>
      <c r="S13" s="29">
        <v>2</v>
      </c>
    </row>
    <row r="14" s="1" customFormat="1" customHeight="1" spans="1:19">
      <c r="A14" s="16" t="str">
        <f t="shared" si="1"/>
        <v>71</v>
      </c>
      <c r="B14" s="17" t="s">
        <v>87</v>
      </c>
      <c r="C14" s="17" t="s">
        <v>93</v>
      </c>
      <c r="D14" s="17">
        <f t="shared" si="5"/>
        <v>1</v>
      </c>
      <c r="E14" s="18" t="s">
        <v>108</v>
      </c>
      <c r="F14" s="19">
        <v>27</v>
      </c>
      <c r="G14" s="20">
        <v>0</v>
      </c>
      <c r="H14" s="20">
        <v>-0.05</v>
      </c>
      <c r="I14" s="29">
        <v>5</v>
      </c>
      <c r="K14" s="16" t="str">
        <f t="shared" si="6"/>
        <v>71</v>
      </c>
      <c r="L14" s="17" t="str">
        <f t="shared" si="2"/>
        <v>V</v>
      </c>
      <c r="M14" s="17" t="str">
        <f t="shared" si="3"/>
        <v>D</v>
      </c>
      <c r="N14" s="17">
        <f t="shared" si="4"/>
        <v>1</v>
      </c>
      <c r="O14" s="18" t="s">
        <v>109</v>
      </c>
      <c r="P14" s="19">
        <v>13</v>
      </c>
      <c r="Q14" s="20">
        <v>0.06</v>
      </c>
      <c r="R14" s="20">
        <v>0.03</v>
      </c>
      <c r="S14" s="29">
        <v>2</v>
      </c>
    </row>
    <row r="15" s="1" customFormat="1" customHeight="1" spans="1:19">
      <c r="A15" s="16" t="str">
        <f t="shared" si="1"/>
        <v>12</v>
      </c>
      <c r="B15" s="17" t="s">
        <v>83</v>
      </c>
      <c r="C15" s="17" t="s">
        <v>84</v>
      </c>
      <c r="D15" s="17">
        <f>D8+1</f>
        <v>2</v>
      </c>
      <c r="E15" s="18" t="s">
        <v>110</v>
      </c>
      <c r="F15" s="19">
        <v>48</v>
      </c>
      <c r="G15" s="20">
        <v>0</v>
      </c>
      <c r="H15" s="20">
        <v>0</v>
      </c>
      <c r="I15" s="29">
        <v>0</v>
      </c>
      <c r="K15" s="16" t="str">
        <f t="shared" si="6"/>
        <v>12</v>
      </c>
      <c r="L15" s="17" t="str">
        <f t="shared" si="2"/>
        <v>G</v>
      </c>
      <c r="M15" s="17" t="str">
        <f t="shared" si="3"/>
        <v>X</v>
      </c>
      <c r="N15" s="17">
        <f t="shared" si="4"/>
        <v>2</v>
      </c>
      <c r="O15" s="18" t="s">
        <v>111</v>
      </c>
      <c r="P15" s="19">
        <v>30</v>
      </c>
      <c r="Q15" s="20">
        <v>0.2</v>
      </c>
      <c r="R15" s="20">
        <v>-0.04</v>
      </c>
      <c r="S15" s="29">
        <v>0</v>
      </c>
    </row>
    <row r="16" s="1" customFormat="1" customHeight="1" spans="1:19">
      <c r="A16" s="16" t="str">
        <f t="shared" si="1"/>
        <v>22</v>
      </c>
      <c r="B16" s="17" t="s">
        <v>87</v>
      </c>
      <c r="C16" s="17" t="s">
        <v>84</v>
      </c>
      <c r="D16" s="17">
        <f t="shared" ref="D16:D21" si="7">D15</f>
        <v>2</v>
      </c>
      <c r="E16" s="18" t="s">
        <v>112</v>
      </c>
      <c r="F16" s="19">
        <v>36</v>
      </c>
      <c r="G16" s="20">
        <v>0.1</v>
      </c>
      <c r="H16" s="20">
        <v>0</v>
      </c>
      <c r="I16" s="29">
        <v>0</v>
      </c>
      <c r="K16" s="16" t="str">
        <f t="shared" si="6"/>
        <v>22</v>
      </c>
      <c r="L16" s="17" t="str">
        <f t="shared" si="2"/>
        <v>V</v>
      </c>
      <c r="M16" s="17" t="str">
        <f t="shared" si="3"/>
        <v>X</v>
      </c>
      <c r="N16" s="17">
        <f t="shared" si="4"/>
        <v>2</v>
      </c>
      <c r="O16" s="18" t="s">
        <v>113</v>
      </c>
      <c r="P16" s="19">
        <v>21</v>
      </c>
      <c r="Q16" s="20">
        <v>0.09</v>
      </c>
      <c r="R16" s="20">
        <v>0.06</v>
      </c>
      <c r="S16" s="29">
        <v>0</v>
      </c>
    </row>
    <row r="17" s="1" customFormat="1" customHeight="1" spans="1:19">
      <c r="A17" s="16" t="str">
        <f t="shared" si="1"/>
        <v>32</v>
      </c>
      <c r="B17" s="17" t="s">
        <v>90</v>
      </c>
      <c r="C17" s="17" t="s">
        <v>84</v>
      </c>
      <c r="D17" s="17">
        <f t="shared" si="7"/>
        <v>2</v>
      </c>
      <c r="E17" s="18" t="s">
        <v>114</v>
      </c>
      <c r="F17" s="19">
        <v>75</v>
      </c>
      <c r="G17" s="20">
        <v>0</v>
      </c>
      <c r="H17" s="20">
        <v>0</v>
      </c>
      <c r="I17" s="29">
        <v>8</v>
      </c>
      <c r="K17" s="16" t="str">
        <f t="shared" si="6"/>
        <v>32</v>
      </c>
      <c r="L17" s="17" t="str">
        <f t="shared" si="2"/>
        <v>M</v>
      </c>
      <c r="M17" s="17" t="str">
        <f t="shared" si="3"/>
        <v>X</v>
      </c>
      <c r="N17" s="17">
        <f t="shared" si="4"/>
        <v>2</v>
      </c>
      <c r="O17" s="18" t="s">
        <v>115</v>
      </c>
      <c r="P17" s="19">
        <v>15</v>
      </c>
      <c r="Q17" s="20">
        <v>0.06</v>
      </c>
      <c r="R17" s="20">
        <v>0.02</v>
      </c>
      <c r="S17" s="29">
        <v>0</v>
      </c>
    </row>
    <row r="18" s="1" customFormat="1" customHeight="1" spans="1:19">
      <c r="A18" s="16" t="str">
        <f t="shared" si="1"/>
        <v>42</v>
      </c>
      <c r="B18" s="17" t="s">
        <v>93</v>
      </c>
      <c r="C18" s="17" t="s">
        <v>84</v>
      </c>
      <c r="D18" s="17">
        <f t="shared" si="7"/>
        <v>2</v>
      </c>
      <c r="E18" s="18" t="s">
        <v>116</v>
      </c>
      <c r="F18" s="19">
        <v>36</v>
      </c>
      <c r="G18" s="20">
        <v>0</v>
      </c>
      <c r="H18" s="20">
        <v>0</v>
      </c>
      <c r="I18" s="29">
        <v>15</v>
      </c>
      <c r="K18" s="16" t="str">
        <f t="shared" si="6"/>
        <v>42</v>
      </c>
      <c r="L18" s="17" t="str">
        <f t="shared" si="2"/>
        <v>D</v>
      </c>
      <c r="M18" s="17" t="str">
        <f t="shared" si="3"/>
        <v>X</v>
      </c>
      <c r="N18" s="17">
        <f t="shared" si="4"/>
        <v>2</v>
      </c>
      <c r="O18" s="18" t="s">
        <v>117</v>
      </c>
      <c r="P18" s="19">
        <v>18</v>
      </c>
      <c r="Q18" s="20">
        <v>0.09</v>
      </c>
      <c r="R18" s="20">
        <v>0.02</v>
      </c>
      <c r="S18" s="29">
        <v>6</v>
      </c>
    </row>
    <row r="19" s="1" customFormat="1" customHeight="1" spans="1:19">
      <c r="A19" s="16" t="str">
        <f t="shared" si="1"/>
        <v>52</v>
      </c>
      <c r="B19" s="17" t="s">
        <v>83</v>
      </c>
      <c r="C19" s="17" t="s">
        <v>87</v>
      </c>
      <c r="D19" s="17">
        <f t="shared" si="7"/>
        <v>2</v>
      </c>
      <c r="E19" s="18" t="s">
        <v>118</v>
      </c>
      <c r="F19" s="19">
        <v>42</v>
      </c>
      <c r="G19" s="20">
        <v>0</v>
      </c>
      <c r="H19" s="20">
        <v>0</v>
      </c>
      <c r="I19" s="29">
        <v>0</v>
      </c>
      <c r="K19" s="16" t="str">
        <f t="shared" si="6"/>
        <v>52</v>
      </c>
      <c r="L19" s="17" t="str">
        <f t="shared" si="2"/>
        <v>G</v>
      </c>
      <c r="M19" s="17" t="str">
        <f t="shared" si="3"/>
        <v>V</v>
      </c>
      <c r="N19" s="17">
        <f t="shared" si="4"/>
        <v>2</v>
      </c>
      <c r="O19" s="18" t="s">
        <v>119</v>
      </c>
      <c r="P19" s="19">
        <v>26</v>
      </c>
      <c r="Q19" s="20">
        <v>0.15</v>
      </c>
      <c r="R19" s="20">
        <v>0.01</v>
      </c>
      <c r="S19" s="29">
        <v>0</v>
      </c>
    </row>
    <row r="20" s="1" customFormat="1" customHeight="1" spans="1:19">
      <c r="A20" s="16" t="str">
        <f t="shared" si="1"/>
        <v>62</v>
      </c>
      <c r="B20" s="17" t="s">
        <v>90</v>
      </c>
      <c r="C20" s="17" t="s">
        <v>93</v>
      </c>
      <c r="D20" s="17">
        <f t="shared" si="7"/>
        <v>2</v>
      </c>
      <c r="E20" s="18" t="s">
        <v>120</v>
      </c>
      <c r="F20" s="19">
        <v>56</v>
      </c>
      <c r="G20" s="20">
        <v>0</v>
      </c>
      <c r="H20" s="20">
        <v>0</v>
      </c>
      <c r="I20" s="29">
        <v>12</v>
      </c>
      <c r="K20" s="16" t="str">
        <f t="shared" si="6"/>
        <v>62</v>
      </c>
      <c r="L20" s="17" t="str">
        <f t="shared" si="2"/>
        <v>M</v>
      </c>
      <c r="M20" s="17" t="str">
        <f t="shared" si="3"/>
        <v>D</v>
      </c>
      <c r="N20" s="17">
        <f t="shared" si="4"/>
        <v>2</v>
      </c>
      <c r="O20" s="18" t="s">
        <v>121</v>
      </c>
      <c r="P20" s="19">
        <v>17</v>
      </c>
      <c r="Q20" s="20">
        <v>0.08</v>
      </c>
      <c r="R20" s="20">
        <v>0.02</v>
      </c>
      <c r="S20" s="29">
        <v>3</v>
      </c>
    </row>
    <row r="21" s="1" customFormat="1" customHeight="1" spans="1:19">
      <c r="A21" s="16" t="str">
        <f t="shared" si="1"/>
        <v>72</v>
      </c>
      <c r="B21" s="17" t="s">
        <v>87</v>
      </c>
      <c r="C21" s="17" t="s">
        <v>93</v>
      </c>
      <c r="D21" s="17">
        <f t="shared" si="7"/>
        <v>2</v>
      </c>
      <c r="E21" s="18" t="s">
        <v>122</v>
      </c>
      <c r="F21" s="19">
        <v>36</v>
      </c>
      <c r="G21" s="20">
        <v>0</v>
      </c>
      <c r="H21" s="20">
        <v>0</v>
      </c>
      <c r="I21" s="29">
        <v>8</v>
      </c>
      <c r="K21" s="16" t="str">
        <f t="shared" si="6"/>
        <v>72</v>
      </c>
      <c r="L21" s="17" t="str">
        <f t="shared" si="2"/>
        <v>V</v>
      </c>
      <c r="M21" s="17" t="str">
        <f t="shared" si="3"/>
        <v>D</v>
      </c>
      <c r="N21" s="17">
        <f t="shared" si="4"/>
        <v>2</v>
      </c>
      <c r="O21" s="18" t="s">
        <v>123</v>
      </c>
      <c r="P21" s="19">
        <v>20</v>
      </c>
      <c r="Q21" s="20">
        <v>0.09</v>
      </c>
      <c r="R21" s="20">
        <v>0.04</v>
      </c>
      <c r="S21" s="29">
        <v>3</v>
      </c>
    </row>
    <row r="22" s="1" customFormat="1" customHeight="1" spans="1:19">
      <c r="A22" s="16" t="str">
        <f t="shared" si="1"/>
        <v>13</v>
      </c>
      <c r="B22" s="17" t="s">
        <v>83</v>
      </c>
      <c r="C22" s="17" t="s">
        <v>84</v>
      </c>
      <c r="D22" s="17">
        <f>D15+1</f>
        <v>3</v>
      </c>
      <c r="E22" s="18" t="s">
        <v>124</v>
      </c>
      <c r="F22" s="19">
        <v>69</v>
      </c>
      <c r="G22" s="20">
        <v>0</v>
      </c>
      <c r="H22" s="20">
        <v>0</v>
      </c>
      <c r="I22" s="29">
        <v>0</v>
      </c>
      <c r="K22" s="16" t="str">
        <f t="shared" si="6"/>
        <v>13</v>
      </c>
      <c r="L22" s="17" t="str">
        <f t="shared" si="2"/>
        <v>G</v>
      </c>
      <c r="M22" s="17" t="str">
        <f t="shared" si="3"/>
        <v>X</v>
      </c>
      <c r="N22" s="17">
        <f t="shared" si="4"/>
        <v>3</v>
      </c>
      <c r="O22" s="18" t="s">
        <v>125</v>
      </c>
      <c r="P22" s="19">
        <v>40</v>
      </c>
      <c r="Q22" s="20">
        <v>0.25</v>
      </c>
      <c r="R22" s="20">
        <v>-0.03</v>
      </c>
      <c r="S22" s="29">
        <v>0</v>
      </c>
    </row>
    <row r="23" s="1" customFormat="1" customHeight="1" spans="1:19">
      <c r="A23" s="16" t="str">
        <f t="shared" si="1"/>
        <v>23</v>
      </c>
      <c r="B23" s="17" t="s">
        <v>87</v>
      </c>
      <c r="C23" s="17" t="s">
        <v>84</v>
      </c>
      <c r="D23" s="17">
        <f t="shared" ref="D23:D28" si="8">D22</f>
        <v>3</v>
      </c>
      <c r="E23" s="18" t="s">
        <v>126</v>
      </c>
      <c r="F23" s="19">
        <v>42</v>
      </c>
      <c r="G23" s="20">
        <v>0.15</v>
      </c>
      <c r="H23" s="20">
        <v>0</v>
      </c>
      <c r="I23" s="29">
        <v>0</v>
      </c>
      <c r="K23" s="16" t="str">
        <f t="shared" si="6"/>
        <v>23</v>
      </c>
      <c r="L23" s="17" t="str">
        <f t="shared" si="2"/>
        <v>V</v>
      </c>
      <c r="M23" s="17" t="str">
        <f t="shared" si="3"/>
        <v>X</v>
      </c>
      <c r="N23" s="17">
        <f t="shared" si="4"/>
        <v>3</v>
      </c>
      <c r="O23" s="18" t="s">
        <v>127</v>
      </c>
      <c r="P23" s="19">
        <v>28</v>
      </c>
      <c r="Q23" s="20">
        <v>0.12</v>
      </c>
      <c r="R23" s="20">
        <v>0.08</v>
      </c>
      <c r="S23" s="29">
        <v>0</v>
      </c>
    </row>
    <row r="24" s="1" customFormat="1" customHeight="1" spans="1:19">
      <c r="A24" s="16" t="str">
        <f t="shared" si="1"/>
        <v>33</v>
      </c>
      <c r="B24" s="17" t="s">
        <v>90</v>
      </c>
      <c r="C24" s="17" t="s">
        <v>84</v>
      </c>
      <c r="D24" s="17">
        <f t="shared" si="8"/>
        <v>3</v>
      </c>
      <c r="E24" s="18" t="s">
        <v>128</v>
      </c>
      <c r="F24" s="19">
        <v>100</v>
      </c>
      <c r="G24" s="20">
        <v>0</v>
      </c>
      <c r="H24" s="20">
        <v>0</v>
      </c>
      <c r="I24" s="29">
        <v>10</v>
      </c>
      <c r="K24" s="16" t="str">
        <f t="shared" si="6"/>
        <v>33</v>
      </c>
      <c r="L24" s="17" t="str">
        <f t="shared" si="2"/>
        <v>M</v>
      </c>
      <c r="M24" s="17" t="str">
        <f t="shared" si="3"/>
        <v>X</v>
      </c>
      <c r="N24" s="17">
        <f t="shared" si="4"/>
        <v>3</v>
      </c>
      <c r="O24" s="18" t="s">
        <v>129</v>
      </c>
      <c r="P24" s="19">
        <v>20</v>
      </c>
      <c r="Q24" s="20">
        <v>0.08</v>
      </c>
      <c r="R24" s="20">
        <v>0.03</v>
      </c>
      <c r="S24" s="29">
        <v>0</v>
      </c>
    </row>
    <row r="25" s="1" customFormat="1" customHeight="1" spans="1:19">
      <c r="A25" s="16" t="str">
        <f t="shared" si="1"/>
        <v>43</v>
      </c>
      <c r="B25" s="17" t="s">
        <v>93</v>
      </c>
      <c r="C25" s="17" t="s">
        <v>84</v>
      </c>
      <c r="D25" s="17">
        <f t="shared" si="8"/>
        <v>3</v>
      </c>
      <c r="E25" s="18" t="s">
        <v>130</v>
      </c>
      <c r="F25" s="19">
        <v>52</v>
      </c>
      <c r="G25" s="20">
        <v>0</v>
      </c>
      <c r="H25" s="20">
        <v>0</v>
      </c>
      <c r="I25" s="29">
        <v>20</v>
      </c>
      <c r="K25" s="16" t="str">
        <f t="shared" si="6"/>
        <v>43</v>
      </c>
      <c r="L25" s="17" t="str">
        <f t="shared" si="2"/>
        <v>D</v>
      </c>
      <c r="M25" s="17" t="str">
        <f t="shared" si="3"/>
        <v>X</v>
      </c>
      <c r="N25" s="17">
        <f t="shared" si="4"/>
        <v>3</v>
      </c>
      <c r="O25" s="18" t="s">
        <v>131</v>
      </c>
      <c r="P25" s="19">
        <v>24</v>
      </c>
      <c r="Q25" s="20">
        <v>0.12</v>
      </c>
      <c r="R25" s="20">
        <v>0.03</v>
      </c>
      <c r="S25" s="29">
        <v>8</v>
      </c>
    </row>
    <row r="26" s="1" customFormat="1" customHeight="1" spans="1:19">
      <c r="A26" s="16" t="str">
        <f t="shared" si="1"/>
        <v>53</v>
      </c>
      <c r="B26" s="17" t="s">
        <v>83</v>
      </c>
      <c r="C26" s="17" t="s">
        <v>87</v>
      </c>
      <c r="D26" s="17">
        <f t="shared" si="8"/>
        <v>3</v>
      </c>
      <c r="E26" s="18" t="s">
        <v>132</v>
      </c>
      <c r="F26" s="19">
        <v>56</v>
      </c>
      <c r="G26" s="20">
        <v>0</v>
      </c>
      <c r="H26" s="20">
        <v>0</v>
      </c>
      <c r="I26" s="29">
        <v>0</v>
      </c>
      <c r="K26" s="16" t="str">
        <f t="shared" si="6"/>
        <v>53</v>
      </c>
      <c r="L26" s="17" t="str">
        <f t="shared" si="2"/>
        <v>G</v>
      </c>
      <c r="M26" s="17" t="str">
        <f t="shared" si="3"/>
        <v>V</v>
      </c>
      <c r="N26" s="17">
        <f t="shared" si="4"/>
        <v>3</v>
      </c>
      <c r="O26" s="18" t="s">
        <v>133</v>
      </c>
      <c r="P26" s="19">
        <v>34</v>
      </c>
      <c r="Q26" s="20">
        <v>0.19</v>
      </c>
      <c r="R26" s="20">
        <v>0.03</v>
      </c>
      <c r="S26" s="29">
        <v>0</v>
      </c>
    </row>
    <row r="27" s="1" customFormat="1" customHeight="1" spans="1:19">
      <c r="A27" s="16" t="str">
        <f t="shared" si="1"/>
        <v>63</v>
      </c>
      <c r="B27" s="17" t="s">
        <v>90</v>
      </c>
      <c r="C27" s="17" t="s">
        <v>93</v>
      </c>
      <c r="D27" s="17">
        <f t="shared" si="8"/>
        <v>3</v>
      </c>
      <c r="E27" s="18" t="s">
        <v>134</v>
      </c>
      <c r="F27" s="19">
        <v>76</v>
      </c>
      <c r="G27" s="20">
        <v>0</v>
      </c>
      <c r="H27" s="20">
        <v>0</v>
      </c>
      <c r="I27" s="29">
        <v>15</v>
      </c>
      <c r="K27" s="16" t="str">
        <f t="shared" si="6"/>
        <v>63</v>
      </c>
      <c r="L27" s="17" t="str">
        <f t="shared" si="2"/>
        <v>M</v>
      </c>
      <c r="M27" s="17" t="str">
        <f t="shared" si="3"/>
        <v>D</v>
      </c>
      <c r="N27" s="17">
        <f t="shared" si="4"/>
        <v>3</v>
      </c>
      <c r="O27" s="18" t="s">
        <v>135</v>
      </c>
      <c r="P27" s="19">
        <v>22</v>
      </c>
      <c r="Q27" s="20">
        <v>0.1</v>
      </c>
      <c r="R27" s="20">
        <v>0.03</v>
      </c>
      <c r="S27" s="29">
        <v>4</v>
      </c>
    </row>
    <row r="28" s="1" customFormat="1" customHeight="1" spans="1:19">
      <c r="A28" s="16" t="str">
        <f t="shared" si="1"/>
        <v>73</v>
      </c>
      <c r="B28" s="17" t="s">
        <v>87</v>
      </c>
      <c r="C28" s="17" t="s">
        <v>93</v>
      </c>
      <c r="D28" s="17">
        <f t="shared" si="8"/>
        <v>3</v>
      </c>
      <c r="E28" s="18" t="s">
        <v>136</v>
      </c>
      <c r="F28" s="19">
        <v>47</v>
      </c>
      <c r="G28" s="20">
        <v>0</v>
      </c>
      <c r="H28" s="20">
        <v>0</v>
      </c>
      <c r="I28" s="29">
        <v>10</v>
      </c>
      <c r="K28" s="16" t="str">
        <f t="shared" si="6"/>
        <v>73</v>
      </c>
      <c r="L28" s="17" t="str">
        <f t="shared" si="2"/>
        <v>V</v>
      </c>
      <c r="M28" s="17" t="str">
        <f t="shared" si="3"/>
        <v>D</v>
      </c>
      <c r="N28" s="17">
        <f t="shared" si="4"/>
        <v>3</v>
      </c>
      <c r="O28" s="18" t="s">
        <v>137</v>
      </c>
      <c r="P28" s="19">
        <v>26</v>
      </c>
      <c r="Q28" s="20">
        <v>0.12</v>
      </c>
      <c r="R28" s="20">
        <v>0.06</v>
      </c>
      <c r="S28" s="29">
        <v>4</v>
      </c>
    </row>
    <row r="29" s="1" customFormat="1" customHeight="1" spans="1:19">
      <c r="A29" s="16" t="str">
        <f t="shared" si="1"/>
        <v>14</v>
      </c>
      <c r="B29" s="17" t="s">
        <v>83</v>
      </c>
      <c r="C29" s="17" t="s">
        <v>84</v>
      </c>
      <c r="D29" s="17">
        <f>D22+1</f>
        <v>4</v>
      </c>
      <c r="E29" s="18" t="s">
        <v>138</v>
      </c>
      <c r="F29" s="19">
        <v>84</v>
      </c>
      <c r="G29" s="20">
        <v>0</v>
      </c>
      <c r="H29" s="20">
        <v>0.05</v>
      </c>
      <c r="I29" s="29">
        <v>0</v>
      </c>
      <c r="K29" s="16" t="str">
        <f t="shared" si="6"/>
        <v>14</v>
      </c>
      <c r="L29" s="17" t="str">
        <f t="shared" si="2"/>
        <v>G</v>
      </c>
      <c r="M29" s="17" t="str">
        <f t="shared" si="3"/>
        <v>X</v>
      </c>
      <c r="N29" s="17">
        <f t="shared" si="4"/>
        <v>4</v>
      </c>
      <c r="O29" s="18" t="s">
        <v>139</v>
      </c>
      <c r="P29" s="19">
        <v>50</v>
      </c>
      <c r="Q29" s="20">
        <v>0.3</v>
      </c>
      <c r="R29" s="20">
        <v>-0.02</v>
      </c>
      <c r="S29" s="29">
        <v>0</v>
      </c>
    </row>
    <row r="30" s="1" customFormat="1" customHeight="1" spans="1:19">
      <c r="A30" s="16" t="str">
        <f t="shared" si="1"/>
        <v>24</v>
      </c>
      <c r="B30" s="17" t="s">
        <v>87</v>
      </c>
      <c r="C30" s="17" t="s">
        <v>84</v>
      </c>
      <c r="D30" s="17">
        <f t="shared" ref="D30:D35" si="9">D29</f>
        <v>4</v>
      </c>
      <c r="E30" s="18" t="s">
        <v>140</v>
      </c>
      <c r="F30" s="19">
        <v>48</v>
      </c>
      <c r="G30" s="20">
        <v>0.2</v>
      </c>
      <c r="H30" s="20">
        <v>0.05</v>
      </c>
      <c r="I30" s="29">
        <v>0</v>
      </c>
      <c r="K30" s="16" t="str">
        <f t="shared" si="6"/>
        <v>24</v>
      </c>
      <c r="L30" s="17" t="str">
        <f t="shared" si="2"/>
        <v>V</v>
      </c>
      <c r="M30" s="17" t="str">
        <f t="shared" si="3"/>
        <v>X</v>
      </c>
      <c r="N30" s="17">
        <f t="shared" si="4"/>
        <v>4</v>
      </c>
      <c r="O30" s="18" t="s">
        <v>141</v>
      </c>
      <c r="P30" s="19">
        <v>35</v>
      </c>
      <c r="Q30" s="20">
        <v>0.1</v>
      </c>
      <c r="R30" s="20">
        <v>0.1</v>
      </c>
      <c r="S30" s="29">
        <v>0</v>
      </c>
    </row>
    <row r="31" s="1" customFormat="1" customHeight="1" spans="1:19">
      <c r="A31" s="16" t="str">
        <f t="shared" si="1"/>
        <v>34</v>
      </c>
      <c r="B31" s="17" t="s">
        <v>90</v>
      </c>
      <c r="C31" s="17" t="s">
        <v>84</v>
      </c>
      <c r="D31" s="17">
        <f t="shared" si="9"/>
        <v>4</v>
      </c>
      <c r="E31" s="18" t="s">
        <v>142</v>
      </c>
      <c r="F31" s="19">
        <v>125</v>
      </c>
      <c r="G31" s="20">
        <v>0.1</v>
      </c>
      <c r="H31" s="20">
        <v>0.05</v>
      </c>
      <c r="I31" s="29">
        <v>18</v>
      </c>
      <c r="K31" s="16" t="str">
        <f t="shared" si="6"/>
        <v>34</v>
      </c>
      <c r="L31" s="17" t="str">
        <f t="shared" si="2"/>
        <v>M</v>
      </c>
      <c r="M31" s="17" t="str">
        <f t="shared" si="3"/>
        <v>X</v>
      </c>
      <c r="N31" s="17">
        <f t="shared" si="4"/>
        <v>4</v>
      </c>
      <c r="O31" s="18" t="s">
        <v>143</v>
      </c>
      <c r="P31" s="19">
        <v>25</v>
      </c>
      <c r="Q31" s="20">
        <v>0.1</v>
      </c>
      <c r="R31" s="20">
        <v>0.04</v>
      </c>
      <c r="S31" s="29">
        <v>0</v>
      </c>
    </row>
    <row r="32" s="1" customFormat="1" customHeight="1" spans="1:19">
      <c r="A32" s="16" t="str">
        <f t="shared" si="1"/>
        <v>44</v>
      </c>
      <c r="B32" s="17" t="s">
        <v>93</v>
      </c>
      <c r="C32" s="17" t="s">
        <v>84</v>
      </c>
      <c r="D32" s="17">
        <f t="shared" si="9"/>
        <v>4</v>
      </c>
      <c r="E32" s="18" t="s">
        <v>144</v>
      </c>
      <c r="F32" s="19">
        <v>63</v>
      </c>
      <c r="G32" s="20">
        <v>0</v>
      </c>
      <c r="H32" s="20">
        <v>0.05</v>
      </c>
      <c r="I32" s="29">
        <v>25</v>
      </c>
      <c r="K32" s="16" t="str">
        <f t="shared" si="6"/>
        <v>44</v>
      </c>
      <c r="L32" s="17" t="str">
        <f t="shared" si="2"/>
        <v>D</v>
      </c>
      <c r="M32" s="17" t="str">
        <f t="shared" si="3"/>
        <v>X</v>
      </c>
      <c r="N32" s="17">
        <f t="shared" si="4"/>
        <v>4</v>
      </c>
      <c r="O32" s="18" t="s">
        <v>145</v>
      </c>
      <c r="P32" s="19">
        <v>30</v>
      </c>
      <c r="Q32" s="20">
        <v>0.15</v>
      </c>
      <c r="R32" s="20">
        <v>0.04</v>
      </c>
      <c r="S32" s="29">
        <v>10</v>
      </c>
    </row>
    <row r="33" s="1" customFormat="1" customHeight="1" spans="1:19">
      <c r="A33" s="16" t="str">
        <f t="shared" si="1"/>
        <v>54</v>
      </c>
      <c r="B33" s="17" t="s">
        <v>83</v>
      </c>
      <c r="C33" s="17" t="s">
        <v>87</v>
      </c>
      <c r="D33" s="17">
        <f t="shared" si="9"/>
        <v>4</v>
      </c>
      <c r="E33" s="18" t="s">
        <v>146</v>
      </c>
      <c r="F33" s="19">
        <v>66</v>
      </c>
      <c r="G33" s="20">
        <v>0</v>
      </c>
      <c r="H33" s="20">
        <v>0.05</v>
      </c>
      <c r="I33" s="29">
        <v>0</v>
      </c>
      <c r="K33" s="16" t="str">
        <f t="shared" si="6"/>
        <v>54</v>
      </c>
      <c r="L33" s="17" t="str">
        <f t="shared" si="2"/>
        <v>G</v>
      </c>
      <c r="M33" s="17" t="str">
        <f t="shared" si="3"/>
        <v>V</v>
      </c>
      <c r="N33" s="17">
        <f t="shared" si="4"/>
        <v>4</v>
      </c>
      <c r="O33" s="18" t="s">
        <v>147</v>
      </c>
      <c r="P33" s="19">
        <v>43</v>
      </c>
      <c r="Q33" s="20">
        <v>0.23</v>
      </c>
      <c r="R33" s="20">
        <v>0.04</v>
      </c>
      <c r="S33" s="29">
        <v>0</v>
      </c>
    </row>
    <row r="34" s="1" customFormat="1" customHeight="1" spans="1:19">
      <c r="A34" s="16" t="str">
        <f t="shared" si="1"/>
        <v>64</v>
      </c>
      <c r="B34" s="17" t="s">
        <v>90</v>
      </c>
      <c r="C34" s="17" t="s">
        <v>93</v>
      </c>
      <c r="D34" s="17">
        <f t="shared" si="9"/>
        <v>4</v>
      </c>
      <c r="E34" s="18" t="s">
        <v>148</v>
      </c>
      <c r="F34" s="19">
        <v>94</v>
      </c>
      <c r="G34" s="20">
        <v>0</v>
      </c>
      <c r="H34" s="20">
        <v>0.05</v>
      </c>
      <c r="I34" s="29">
        <v>22</v>
      </c>
      <c r="K34" s="16" t="str">
        <f t="shared" si="6"/>
        <v>64</v>
      </c>
      <c r="L34" s="17" t="str">
        <f t="shared" si="2"/>
        <v>M</v>
      </c>
      <c r="M34" s="17" t="str">
        <f t="shared" si="3"/>
        <v>D</v>
      </c>
      <c r="N34" s="17">
        <f t="shared" si="4"/>
        <v>4</v>
      </c>
      <c r="O34" s="18" t="s">
        <v>149</v>
      </c>
      <c r="P34" s="19">
        <v>28</v>
      </c>
      <c r="Q34" s="20">
        <v>0.13</v>
      </c>
      <c r="R34" s="20">
        <v>0.04</v>
      </c>
      <c r="S34" s="29">
        <v>5</v>
      </c>
    </row>
    <row r="35" s="1" customFormat="1" customHeight="1" spans="1:19">
      <c r="A35" s="16" t="str">
        <f t="shared" si="1"/>
        <v>74</v>
      </c>
      <c r="B35" s="17" t="s">
        <v>87</v>
      </c>
      <c r="C35" s="17" t="s">
        <v>93</v>
      </c>
      <c r="D35" s="17">
        <f t="shared" si="9"/>
        <v>4</v>
      </c>
      <c r="E35" s="18" t="s">
        <v>150</v>
      </c>
      <c r="F35" s="19">
        <v>56</v>
      </c>
      <c r="G35" s="20">
        <v>0</v>
      </c>
      <c r="H35" s="20">
        <v>0.05</v>
      </c>
      <c r="I35" s="29">
        <v>13</v>
      </c>
      <c r="K35" s="16" t="str">
        <f t="shared" si="6"/>
        <v>74</v>
      </c>
      <c r="L35" s="17" t="str">
        <f t="shared" si="2"/>
        <v>V</v>
      </c>
      <c r="M35" s="17" t="str">
        <f t="shared" si="3"/>
        <v>D</v>
      </c>
      <c r="N35" s="17">
        <f t="shared" si="4"/>
        <v>4</v>
      </c>
      <c r="O35" s="18" t="s">
        <v>151</v>
      </c>
      <c r="P35" s="19">
        <v>33</v>
      </c>
      <c r="Q35" s="20">
        <v>0.15</v>
      </c>
      <c r="R35" s="20">
        <v>0.07</v>
      </c>
      <c r="S35" s="29">
        <v>5</v>
      </c>
    </row>
    <row r="36" s="1" customFormat="1" customHeight="1" spans="1:19">
      <c r="A36" s="16" t="str">
        <f t="shared" si="1"/>
        <v>15</v>
      </c>
      <c r="B36" s="17" t="s">
        <v>83</v>
      </c>
      <c r="C36" s="17" t="s">
        <v>84</v>
      </c>
      <c r="D36" s="17">
        <f>D29+1</f>
        <v>5</v>
      </c>
      <c r="E36" s="18" t="s">
        <v>152</v>
      </c>
      <c r="F36" s="19">
        <v>113</v>
      </c>
      <c r="G36" s="20">
        <v>0</v>
      </c>
      <c r="H36" s="20">
        <v>0.1</v>
      </c>
      <c r="I36" s="29">
        <v>0</v>
      </c>
      <c r="K36" s="16" t="str">
        <f t="shared" si="6"/>
        <v>15</v>
      </c>
      <c r="L36" s="17" t="str">
        <f t="shared" si="2"/>
        <v>G</v>
      </c>
      <c r="M36" s="17" t="str">
        <f t="shared" si="3"/>
        <v>X</v>
      </c>
      <c r="N36" s="17">
        <f t="shared" si="4"/>
        <v>5</v>
      </c>
      <c r="O36" s="18" t="s">
        <v>153</v>
      </c>
      <c r="P36" s="19">
        <v>60</v>
      </c>
      <c r="Q36" s="20">
        <v>0.4</v>
      </c>
      <c r="R36" s="20">
        <v>0</v>
      </c>
      <c r="S36" s="29">
        <v>0</v>
      </c>
    </row>
    <row r="37" s="1" customFormat="1" customHeight="1" spans="1:19">
      <c r="A37" s="16" t="str">
        <f t="shared" si="1"/>
        <v>25</v>
      </c>
      <c r="B37" s="17" t="s">
        <v>87</v>
      </c>
      <c r="C37" s="17" t="s">
        <v>84</v>
      </c>
      <c r="D37" s="17">
        <f t="shared" ref="D37:D42" si="10">D36</f>
        <v>5</v>
      </c>
      <c r="E37" s="18" t="s">
        <v>154</v>
      </c>
      <c r="F37" s="19">
        <v>54</v>
      </c>
      <c r="G37" s="20">
        <v>0.3</v>
      </c>
      <c r="H37" s="20">
        <v>0.1</v>
      </c>
      <c r="I37" s="29">
        <v>0</v>
      </c>
      <c r="K37" s="16" t="str">
        <f t="shared" si="6"/>
        <v>25</v>
      </c>
      <c r="L37" s="17" t="str">
        <f t="shared" si="2"/>
        <v>V</v>
      </c>
      <c r="M37" s="17" t="str">
        <f t="shared" si="3"/>
        <v>X</v>
      </c>
      <c r="N37" s="17">
        <f t="shared" si="4"/>
        <v>5</v>
      </c>
      <c r="O37" s="18" t="s">
        <v>155</v>
      </c>
      <c r="P37" s="19">
        <v>42</v>
      </c>
      <c r="Q37" s="20">
        <v>0.2</v>
      </c>
      <c r="R37" s="20">
        <v>0.15</v>
      </c>
      <c r="S37" s="29">
        <v>0</v>
      </c>
    </row>
    <row r="38" s="1" customFormat="1" customHeight="1" spans="1:19">
      <c r="A38" s="16" t="str">
        <f t="shared" si="1"/>
        <v>35</v>
      </c>
      <c r="B38" s="17" t="s">
        <v>90</v>
      </c>
      <c r="C38" s="17" t="s">
        <v>84</v>
      </c>
      <c r="D38" s="17">
        <f t="shared" si="10"/>
        <v>5</v>
      </c>
      <c r="E38" s="18" t="s">
        <v>156</v>
      </c>
      <c r="F38" s="19">
        <v>150</v>
      </c>
      <c r="G38" s="20">
        <v>0.1</v>
      </c>
      <c r="H38" s="20">
        <v>0.1</v>
      </c>
      <c r="I38" s="29">
        <v>25</v>
      </c>
      <c r="K38" s="16" t="str">
        <f t="shared" si="6"/>
        <v>35</v>
      </c>
      <c r="L38" s="17" t="str">
        <f t="shared" si="2"/>
        <v>M</v>
      </c>
      <c r="M38" s="17" t="str">
        <f t="shared" si="3"/>
        <v>X</v>
      </c>
      <c r="N38" s="17">
        <f t="shared" si="4"/>
        <v>5</v>
      </c>
      <c r="O38" s="18" t="s">
        <v>157</v>
      </c>
      <c r="P38" s="19">
        <v>30</v>
      </c>
      <c r="Q38" s="20">
        <v>0.15</v>
      </c>
      <c r="R38" s="20">
        <v>0.05</v>
      </c>
      <c r="S38" s="29">
        <v>0</v>
      </c>
    </row>
    <row r="39" s="1" customFormat="1" customHeight="1" spans="1:19">
      <c r="A39" s="16" t="str">
        <f t="shared" si="1"/>
        <v>45</v>
      </c>
      <c r="B39" s="17" t="s">
        <v>93</v>
      </c>
      <c r="C39" s="17" t="s">
        <v>84</v>
      </c>
      <c r="D39" s="17">
        <f t="shared" si="10"/>
        <v>5</v>
      </c>
      <c r="E39" s="18" t="s">
        <v>158</v>
      </c>
      <c r="F39" s="19">
        <v>85</v>
      </c>
      <c r="G39" s="20">
        <v>0</v>
      </c>
      <c r="H39" s="20">
        <v>0.1</v>
      </c>
      <c r="I39" s="29">
        <v>35</v>
      </c>
      <c r="K39" s="16" t="str">
        <f t="shared" si="6"/>
        <v>45</v>
      </c>
      <c r="L39" s="17" t="str">
        <f t="shared" si="2"/>
        <v>D</v>
      </c>
      <c r="M39" s="17" t="str">
        <f t="shared" si="3"/>
        <v>X</v>
      </c>
      <c r="N39" s="17">
        <f t="shared" si="4"/>
        <v>5</v>
      </c>
      <c r="O39" s="18" t="s">
        <v>159</v>
      </c>
      <c r="P39" s="19">
        <v>36</v>
      </c>
      <c r="Q39" s="20">
        <v>0.2</v>
      </c>
      <c r="R39" s="20">
        <v>0.05</v>
      </c>
      <c r="S39" s="29">
        <v>18</v>
      </c>
    </row>
    <row r="40" s="1" customFormat="1" customHeight="1" spans="1:19">
      <c r="A40" s="16" t="str">
        <f t="shared" si="1"/>
        <v>55</v>
      </c>
      <c r="B40" s="17" t="s">
        <v>83</v>
      </c>
      <c r="C40" s="17" t="s">
        <v>87</v>
      </c>
      <c r="D40" s="17">
        <f t="shared" si="10"/>
        <v>5</v>
      </c>
      <c r="E40" s="18" t="s">
        <v>160</v>
      </c>
      <c r="F40" s="19">
        <v>84</v>
      </c>
      <c r="G40" s="20">
        <v>0</v>
      </c>
      <c r="H40" s="20">
        <v>0.1</v>
      </c>
      <c r="I40" s="29">
        <v>0</v>
      </c>
      <c r="K40" s="16" t="str">
        <f t="shared" si="6"/>
        <v>55</v>
      </c>
      <c r="L40" s="17" t="str">
        <f t="shared" si="2"/>
        <v>G</v>
      </c>
      <c r="M40" s="17" t="str">
        <f t="shared" si="3"/>
        <v>V</v>
      </c>
      <c r="N40" s="17">
        <f t="shared" si="4"/>
        <v>5</v>
      </c>
      <c r="O40" s="18" t="s">
        <v>161</v>
      </c>
      <c r="P40" s="19">
        <v>51</v>
      </c>
      <c r="Q40" s="20">
        <v>0.3</v>
      </c>
      <c r="R40" s="20">
        <v>0.08</v>
      </c>
      <c r="S40" s="29">
        <v>0</v>
      </c>
    </row>
    <row r="41" s="1" customFormat="1" customHeight="1" spans="1:19">
      <c r="A41" s="16" t="str">
        <f t="shared" si="1"/>
        <v>65</v>
      </c>
      <c r="B41" s="17" t="s">
        <v>90</v>
      </c>
      <c r="C41" s="17" t="s">
        <v>93</v>
      </c>
      <c r="D41" s="17">
        <f t="shared" si="10"/>
        <v>5</v>
      </c>
      <c r="E41" s="18" t="s">
        <v>162</v>
      </c>
      <c r="F41" s="19">
        <v>118</v>
      </c>
      <c r="G41" s="20">
        <v>0</v>
      </c>
      <c r="H41" s="20">
        <v>0.1</v>
      </c>
      <c r="I41" s="29">
        <v>30</v>
      </c>
      <c r="K41" s="16" t="str">
        <f t="shared" si="6"/>
        <v>65</v>
      </c>
      <c r="L41" s="17" t="str">
        <f t="shared" si="2"/>
        <v>M</v>
      </c>
      <c r="M41" s="17" t="str">
        <f t="shared" si="3"/>
        <v>D</v>
      </c>
      <c r="N41" s="17">
        <f t="shared" si="4"/>
        <v>5</v>
      </c>
      <c r="O41" s="18" t="s">
        <v>163</v>
      </c>
      <c r="P41" s="19">
        <v>33</v>
      </c>
      <c r="Q41" s="20">
        <v>0.18</v>
      </c>
      <c r="R41" s="20">
        <v>0.05</v>
      </c>
      <c r="S41" s="29">
        <v>9</v>
      </c>
    </row>
    <row r="42" s="1" customFormat="1" customHeight="1" spans="1:19">
      <c r="A42" s="21" t="str">
        <f t="shared" si="1"/>
        <v>75</v>
      </c>
      <c r="B42" s="22" t="s">
        <v>87</v>
      </c>
      <c r="C42" s="22" t="s">
        <v>93</v>
      </c>
      <c r="D42" s="22">
        <f t="shared" si="10"/>
        <v>5</v>
      </c>
      <c r="E42" s="23" t="s">
        <v>164</v>
      </c>
      <c r="F42" s="24">
        <v>70</v>
      </c>
      <c r="G42" s="25">
        <v>0</v>
      </c>
      <c r="H42" s="25">
        <v>0.1</v>
      </c>
      <c r="I42" s="31">
        <v>18</v>
      </c>
      <c r="K42" s="21" t="str">
        <f t="shared" si="6"/>
        <v>75</v>
      </c>
      <c r="L42" s="22" t="str">
        <f t="shared" si="2"/>
        <v>V</v>
      </c>
      <c r="M42" s="22" t="str">
        <f t="shared" si="3"/>
        <v>D</v>
      </c>
      <c r="N42" s="22">
        <f t="shared" si="4"/>
        <v>5</v>
      </c>
      <c r="O42" s="23" t="s">
        <v>165</v>
      </c>
      <c r="P42" s="24">
        <v>39</v>
      </c>
      <c r="Q42" s="25">
        <v>0.2</v>
      </c>
      <c r="R42" s="25">
        <v>0.1</v>
      </c>
      <c r="S42" s="31">
        <v>9</v>
      </c>
    </row>
    <row r="43" customHeight="1" spans="1:25">
      <c r="A43" s="26"/>
      <c r="B43" s="17"/>
      <c r="C43" s="17"/>
      <c r="D43" s="17"/>
      <c r="E43" s="26"/>
      <c r="F43" s="19"/>
      <c r="G43" s="20"/>
      <c r="H43" s="20"/>
      <c r="I43" s="19"/>
      <c r="J43" s="1"/>
      <c r="K43" s="26"/>
      <c r="L43" s="17"/>
      <c r="M43" s="17"/>
      <c r="N43" s="17"/>
      <c r="O43" s="26"/>
      <c r="P43" s="19"/>
      <c r="Q43" s="20"/>
      <c r="R43" s="20"/>
      <c r="S43" s="19"/>
      <c r="T43" s="1"/>
      <c r="U43" s="1"/>
      <c r="V43" s="1"/>
      <c r="W43" s="1"/>
      <c r="X43" s="1"/>
      <c r="Y43" s="1"/>
    </row>
    <row r="44" customHeight="1" spans="1:25">
      <c r="A44" s="26"/>
      <c r="B44" s="17"/>
      <c r="C44" s="17"/>
      <c r="D44" s="17"/>
      <c r="E44" s="26"/>
      <c r="F44" s="19"/>
      <c r="G44" s="20"/>
      <c r="H44" s="20"/>
      <c r="I44" s="19"/>
      <c r="J44" s="1"/>
      <c r="K44" s="26"/>
      <c r="L44" s="17"/>
      <c r="M44" s="17"/>
      <c r="N44" s="17"/>
      <c r="O44" s="26"/>
      <c r="P44" s="19"/>
      <c r="Q44" s="20"/>
      <c r="R44" s="20"/>
      <c r="S44" s="19"/>
      <c r="T44" s="1"/>
      <c r="U44" s="1"/>
      <c r="V44" s="1"/>
      <c r="W44" s="1"/>
      <c r="X44" s="1"/>
      <c r="Y44" s="1"/>
    </row>
    <row r="45" customHeight="1" spans="1:25">
      <c r="A45" s="26"/>
      <c r="B45" s="17"/>
      <c r="C45" s="17"/>
      <c r="D45" s="17"/>
      <c r="E45" s="26"/>
      <c r="F45" s="19"/>
      <c r="G45" s="20"/>
      <c r="H45" s="20"/>
      <c r="I45" s="19"/>
      <c r="J45" s="1"/>
      <c r="K45" s="26"/>
      <c r="L45" s="17"/>
      <c r="M45" s="17"/>
      <c r="N45" s="17"/>
      <c r="O45" s="26"/>
      <c r="P45" s="19"/>
      <c r="Q45" s="20"/>
      <c r="R45" s="20"/>
      <c r="S45" s="19"/>
      <c r="T45" s="1"/>
      <c r="U45" s="1"/>
      <c r="V45" s="1"/>
      <c r="W45" s="1"/>
      <c r="X45" s="1"/>
      <c r="Y45" s="1"/>
    </row>
    <row r="46" customHeight="1" spans="1:25">
      <c r="A46" s="26"/>
      <c r="B46" s="17"/>
      <c r="C46" s="17"/>
      <c r="D46" s="17"/>
      <c r="E46" s="26"/>
      <c r="F46" s="19"/>
      <c r="G46" s="20"/>
      <c r="H46" s="20"/>
      <c r="I46" s="19"/>
      <c r="J46" s="1"/>
      <c r="K46" s="26"/>
      <c r="L46" s="17"/>
      <c r="M46" s="17"/>
      <c r="N46" s="17"/>
      <c r="O46" s="26"/>
      <c r="P46" s="19"/>
      <c r="Q46" s="20"/>
      <c r="R46" s="20"/>
      <c r="S46" s="19"/>
      <c r="T46" s="1"/>
      <c r="U46" s="1"/>
      <c r="V46" s="1"/>
      <c r="W46" s="1"/>
      <c r="X46" s="1"/>
      <c r="Y46" s="1"/>
    </row>
    <row r="47" customHeight="1" spans="1:25">
      <c r="A47" s="26"/>
      <c r="B47" s="17"/>
      <c r="C47" s="17"/>
      <c r="D47" s="17"/>
      <c r="E47" s="26"/>
      <c r="F47" s="19"/>
      <c r="G47" s="20"/>
      <c r="H47" s="20"/>
      <c r="I47" s="19"/>
      <c r="J47" s="1"/>
      <c r="K47" s="26"/>
      <c r="L47" s="17"/>
      <c r="M47" s="17"/>
      <c r="N47" s="17"/>
      <c r="O47" s="26"/>
      <c r="P47" s="19"/>
      <c r="Q47" s="20"/>
      <c r="R47" s="20"/>
      <c r="S47" s="19"/>
      <c r="T47" s="1"/>
      <c r="U47" s="1"/>
      <c r="V47" s="1"/>
      <c r="W47" s="1"/>
      <c r="X47" s="1"/>
      <c r="Y47" s="1"/>
    </row>
    <row r="48" customHeight="1" spans="1:25">
      <c r="A48" s="26"/>
      <c r="B48" s="17"/>
      <c r="C48" s="17"/>
      <c r="D48" s="17"/>
      <c r="E48" s="26"/>
      <c r="F48" s="19"/>
      <c r="G48" s="20"/>
      <c r="H48" s="20"/>
      <c r="I48" s="19"/>
      <c r="J48" s="1"/>
      <c r="K48" s="26"/>
      <c r="L48" s="17"/>
      <c r="M48" s="17"/>
      <c r="N48" s="17"/>
      <c r="O48" s="26"/>
      <c r="P48" s="19"/>
      <c r="Q48" s="20"/>
      <c r="R48" s="20"/>
      <c r="S48" s="19"/>
      <c r="T48" s="1"/>
      <c r="U48" s="1"/>
      <c r="V48" s="1"/>
      <c r="W48" s="1"/>
      <c r="X48" s="1"/>
      <c r="Y48" s="1"/>
    </row>
    <row r="49" customHeight="1" spans="1:25">
      <c r="A49" s="26"/>
      <c r="B49" s="17"/>
      <c r="C49" s="17"/>
      <c r="D49" s="17"/>
      <c r="E49" s="26"/>
      <c r="F49" s="19"/>
      <c r="G49" s="20"/>
      <c r="H49" s="20"/>
      <c r="I49" s="19"/>
      <c r="J49" s="1"/>
      <c r="K49" s="26"/>
      <c r="L49" s="17"/>
      <c r="M49" s="17"/>
      <c r="N49" s="17"/>
      <c r="O49" s="26"/>
      <c r="P49" s="19"/>
      <c r="Q49" s="20"/>
      <c r="R49" s="20"/>
      <c r="S49" s="19"/>
      <c r="T49" s="1"/>
      <c r="U49" s="1"/>
      <c r="V49" s="1"/>
      <c r="W49" s="1"/>
      <c r="X49" s="1"/>
      <c r="Y49" s="1"/>
    </row>
    <row r="50" customHeight="1" spans="1:25">
      <c r="A50" s="26"/>
      <c r="B50" s="17"/>
      <c r="C50" s="17"/>
      <c r="D50" s="17"/>
      <c r="E50" s="26"/>
      <c r="F50" s="19"/>
      <c r="G50" s="20"/>
      <c r="H50" s="20"/>
      <c r="I50" s="19"/>
      <c r="J50" s="1"/>
      <c r="K50" s="26"/>
      <c r="L50" s="17"/>
      <c r="M50" s="17"/>
      <c r="N50" s="17"/>
      <c r="O50" s="26"/>
      <c r="P50" s="19"/>
      <c r="Q50" s="20"/>
      <c r="R50" s="20"/>
      <c r="S50" s="19"/>
      <c r="T50" s="1"/>
      <c r="U50" s="1"/>
      <c r="V50" s="1"/>
      <c r="W50" s="1"/>
      <c r="X50" s="1"/>
      <c r="Y50" s="1"/>
    </row>
    <row r="51" customHeight="1" spans="1:25">
      <c r="A51" s="26"/>
      <c r="B51" s="17"/>
      <c r="C51" s="17"/>
      <c r="D51" s="17"/>
      <c r="E51" s="26"/>
      <c r="F51" s="19"/>
      <c r="G51" s="20"/>
      <c r="H51" s="20"/>
      <c r="I51" s="19"/>
      <c r="J51" s="1"/>
      <c r="K51" s="26"/>
      <c r="L51" s="17"/>
      <c r="M51" s="17"/>
      <c r="N51" s="17"/>
      <c r="O51" s="26"/>
      <c r="P51" s="19"/>
      <c r="Q51" s="20"/>
      <c r="R51" s="20"/>
      <c r="S51" s="19"/>
      <c r="T51" s="1"/>
      <c r="U51" s="1"/>
      <c r="V51" s="1"/>
      <c r="W51" s="1"/>
      <c r="X51" s="1"/>
      <c r="Y51" s="1"/>
    </row>
    <row r="52" customHeight="1" spans="1:25">
      <c r="A52" s="26"/>
      <c r="B52" s="17"/>
      <c r="C52" s="17"/>
      <c r="D52" s="17"/>
      <c r="E52" s="26"/>
      <c r="F52" s="19"/>
      <c r="G52" s="20"/>
      <c r="H52" s="20"/>
      <c r="I52" s="19"/>
      <c r="J52" s="1"/>
      <c r="K52" s="26"/>
      <c r="L52" s="17"/>
      <c r="M52" s="17"/>
      <c r="N52" s="17"/>
      <c r="O52" s="26"/>
      <c r="P52" s="19"/>
      <c r="Q52" s="20"/>
      <c r="R52" s="20"/>
      <c r="S52" s="19"/>
      <c r="T52" s="1"/>
      <c r="U52" s="1"/>
      <c r="V52" s="1"/>
      <c r="W52" s="1"/>
      <c r="X52" s="1"/>
      <c r="Y52" s="1"/>
    </row>
    <row r="53" customHeight="1" spans="1:25">
      <c r="A53" s="26"/>
      <c r="B53" s="17"/>
      <c r="C53" s="17"/>
      <c r="D53" s="17"/>
      <c r="E53" s="26"/>
      <c r="F53" s="19"/>
      <c r="G53" s="20"/>
      <c r="H53" s="20"/>
      <c r="I53" s="19"/>
      <c r="J53" s="1"/>
      <c r="K53" s="26"/>
      <c r="L53" s="17"/>
      <c r="M53" s="17"/>
      <c r="N53" s="17"/>
      <c r="O53" s="26"/>
      <c r="P53" s="19"/>
      <c r="Q53" s="20"/>
      <c r="R53" s="20"/>
      <c r="S53" s="19"/>
      <c r="T53" s="1"/>
      <c r="U53" s="1"/>
      <c r="V53" s="1"/>
      <c r="W53" s="1"/>
      <c r="X53" s="1"/>
      <c r="Y53" s="1"/>
    </row>
    <row r="54" customHeight="1" spans="1:25">
      <c r="A54" s="26"/>
      <c r="B54" s="17"/>
      <c r="C54" s="17"/>
      <c r="D54" s="17"/>
      <c r="E54" s="26"/>
      <c r="F54" s="19"/>
      <c r="G54" s="20"/>
      <c r="H54" s="20"/>
      <c r="I54" s="19"/>
      <c r="J54" s="1"/>
      <c r="K54" s="26"/>
      <c r="L54" s="17"/>
      <c r="M54" s="17"/>
      <c r="N54" s="17"/>
      <c r="O54" s="26"/>
      <c r="P54" s="19"/>
      <c r="Q54" s="20"/>
      <c r="R54" s="20"/>
      <c r="S54" s="19"/>
      <c r="T54" s="1"/>
      <c r="U54" s="1"/>
      <c r="V54" s="1"/>
      <c r="W54" s="1"/>
      <c r="X54" s="1"/>
      <c r="Y54" s="1"/>
    </row>
    <row r="55" customHeight="1" spans="1:25">
      <c r="A55" s="26"/>
      <c r="B55" s="17"/>
      <c r="C55" s="17"/>
      <c r="D55" s="17"/>
      <c r="E55" s="26"/>
      <c r="F55" s="19"/>
      <c r="G55" s="20"/>
      <c r="H55" s="20"/>
      <c r="I55" s="19"/>
      <c r="J55" s="1"/>
      <c r="K55" s="26"/>
      <c r="L55" s="17"/>
      <c r="M55" s="17"/>
      <c r="N55" s="17"/>
      <c r="O55" s="26"/>
      <c r="P55" s="19"/>
      <c r="Q55" s="20"/>
      <c r="R55" s="20"/>
      <c r="S55" s="19"/>
      <c r="T55" s="1"/>
      <c r="U55" s="1"/>
      <c r="V55" s="1"/>
      <c r="W55" s="1"/>
      <c r="X55" s="1"/>
      <c r="Y55" s="1"/>
    </row>
    <row r="56" customHeight="1" spans="1:25">
      <c r="A56" s="26"/>
      <c r="B56" s="17"/>
      <c r="C56" s="17"/>
      <c r="D56" s="17"/>
      <c r="E56" s="26"/>
      <c r="F56" s="19"/>
      <c r="G56" s="20"/>
      <c r="H56" s="20"/>
      <c r="I56" s="19"/>
      <c r="J56" s="1"/>
      <c r="K56" s="26"/>
      <c r="L56" s="17"/>
      <c r="M56" s="17"/>
      <c r="N56" s="17"/>
      <c r="O56" s="26"/>
      <c r="P56" s="19"/>
      <c r="Q56" s="20"/>
      <c r="R56" s="20"/>
      <c r="S56" s="19"/>
      <c r="T56" s="1"/>
      <c r="U56" s="1"/>
      <c r="V56" s="1"/>
      <c r="W56" s="1"/>
      <c r="X56" s="1"/>
      <c r="Y56" s="1"/>
    </row>
    <row r="57" customHeight="1" spans="1:25">
      <c r="A57" s="26"/>
      <c r="B57" s="17"/>
      <c r="C57" s="17"/>
      <c r="D57" s="17"/>
      <c r="E57" s="26"/>
      <c r="F57" s="19"/>
      <c r="G57" s="20"/>
      <c r="H57" s="20"/>
      <c r="I57" s="19"/>
      <c r="J57" s="1"/>
      <c r="K57" s="26"/>
      <c r="L57" s="17"/>
      <c r="M57" s="17"/>
      <c r="N57" s="17"/>
      <c r="O57" s="26"/>
      <c r="P57" s="19"/>
      <c r="Q57" s="20"/>
      <c r="R57" s="20"/>
      <c r="S57" s="19"/>
      <c r="T57" s="1"/>
      <c r="U57" s="1"/>
      <c r="V57" s="1"/>
      <c r="W57" s="1"/>
      <c r="X57" s="1"/>
      <c r="Y57" s="1"/>
    </row>
    <row r="58" customHeight="1" spans="1:25">
      <c r="A58" s="26"/>
      <c r="B58" s="17"/>
      <c r="C58" s="17"/>
      <c r="D58" s="17"/>
      <c r="E58" s="26"/>
      <c r="F58" s="19"/>
      <c r="G58" s="20"/>
      <c r="H58" s="20"/>
      <c r="I58" s="19"/>
      <c r="J58" s="1"/>
      <c r="K58" s="26"/>
      <c r="L58" s="17"/>
      <c r="M58" s="17"/>
      <c r="N58" s="17"/>
      <c r="O58" s="26"/>
      <c r="P58" s="19"/>
      <c r="Q58" s="20"/>
      <c r="R58" s="20"/>
      <c r="S58" s="19"/>
      <c r="T58" s="1"/>
      <c r="U58" s="1"/>
      <c r="V58" s="1"/>
      <c r="W58" s="1"/>
      <c r="X58" s="1"/>
      <c r="Y58" s="1"/>
    </row>
    <row r="59" customHeight="1" spans="1:21">
      <c r="A59" s="26"/>
      <c r="B59" s="17"/>
      <c r="C59" s="17"/>
      <c r="D59" s="17"/>
      <c r="E59" s="26"/>
      <c r="F59" s="19"/>
      <c r="G59" s="20"/>
      <c r="H59" s="20"/>
      <c r="I59" s="19"/>
      <c r="J59" s="1"/>
      <c r="K59" s="26"/>
      <c r="L59" s="17"/>
      <c r="M59" s="17"/>
      <c r="N59" s="17"/>
      <c r="O59" s="26"/>
      <c r="P59" s="19"/>
      <c r="Q59" s="20"/>
      <c r="R59" s="20"/>
      <c r="S59" s="19"/>
      <c r="T59" s="1"/>
      <c r="U59" s="1"/>
    </row>
    <row r="60" customHeight="1" spans="1:21">
      <c r="A60" s="26"/>
      <c r="B60" s="17"/>
      <c r="C60" s="17"/>
      <c r="D60" s="17"/>
      <c r="E60" s="26"/>
      <c r="F60" s="19"/>
      <c r="G60" s="20"/>
      <c r="H60" s="20"/>
      <c r="I60" s="19"/>
      <c r="J60" s="1"/>
      <c r="K60" s="26"/>
      <c r="L60" s="17"/>
      <c r="M60" s="17"/>
      <c r="N60" s="17"/>
      <c r="O60" s="26"/>
      <c r="P60" s="19"/>
      <c r="Q60" s="20"/>
      <c r="R60" s="20"/>
      <c r="S60" s="19"/>
      <c r="T60" s="1"/>
      <c r="U60" s="1"/>
    </row>
    <row r="61" customHeight="1" spans="1:21">
      <c r="A61" s="26"/>
      <c r="B61" s="17"/>
      <c r="C61" s="17"/>
      <c r="D61" s="17"/>
      <c r="E61" s="26"/>
      <c r="F61" s="19"/>
      <c r="G61" s="20"/>
      <c r="H61" s="20"/>
      <c r="I61" s="19"/>
      <c r="J61" s="1"/>
      <c r="K61" s="26"/>
      <c r="L61" s="17"/>
      <c r="M61" s="17"/>
      <c r="N61" s="17"/>
      <c r="O61" s="26"/>
      <c r="P61" s="19"/>
      <c r="Q61" s="20"/>
      <c r="R61" s="20"/>
      <c r="S61" s="19"/>
      <c r="T61" s="1"/>
      <c r="U61" s="1"/>
    </row>
    <row r="62" customHeight="1" spans="1:21">
      <c r="A62" s="17"/>
      <c r="B62" s="17"/>
      <c r="C62" s="17"/>
      <c r="D62" s="17"/>
      <c r="E62" s="26"/>
      <c r="F62" s="17"/>
      <c r="G62" s="27"/>
      <c r="H62" s="27"/>
      <c r="I62" s="17"/>
      <c r="J62" s="1"/>
      <c r="K62" s="17"/>
      <c r="L62" s="17"/>
      <c r="M62" s="17"/>
      <c r="N62" s="17"/>
      <c r="O62" s="1"/>
      <c r="P62" s="17"/>
      <c r="Q62" s="27"/>
      <c r="R62" s="27"/>
      <c r="S62" s="17"/>
      <c r="T62" s="1"/>
      <c r="U62" s="1"/>
    </row>
    <row r="63" customHeight="1" spans="5:5">
      <c r="E63" s="26"/>
    </row>
    <row r="64" customHeight="1" spans="5:19">
      <c r="E64" s="26"/>
      <c r="S64" s="33"/>
    </row>
    <row r="65" customHeight="1" spans="5:5">
      <c r="E65" s="26"/>
    </row>
    <row r="66" customHeight="1" spans="5:5">
      <c r="E66" s="26"/>
    </row>
    <row r="67" customHeight="1" spans="5:5">
      <c r="E67" s="26"/>
    </row>
    <row r="68" customHeight="1"/>
    <row r="69" customHeight="1"/>
    <row r="70" customHeight="1"/>
    <row r="71" customHeight="1"/>
    <row r="72" customHeight="1"/>
    <row r="73" customHeight="1"/>
    <row r="74" customHeight="1"/>
    <row r="75" customHeight="1"/>
    <row r="76" customHeight="1"/>
    <row r="77" customHeight="1"/>
    <row r="78" customHeight="1"/>
    <row r="79" customHeight="1"/>
    <row r="80" customHeight="1"/>
    <row r="81" customHeight="1"/>
    <row r="82" customHeight="1"/>
    <row r="83" customHeight="1"/>
    <row r="84" customHeight="1"/>
    <row r="85" customHeight="1"/>
    <row r="86" customHeight="1"/>
    <row r="87" customHeight="1"/>
    <row r="88" customHeight="1"/>
    <row r="89" customHeight="1"/>
    <row r="90" customHeight="1"/>
    <row r="91" customHeight="1"/>
    <row r="92" customHeight="1"/>
    <row r="93" customHeight="1"/>
    <row r="94" customHeight="1"/>
    <row r="95" customHeight="1"/>
    <row r="96" customHeight="1"/>
  </sheetData>
  <mergeCells count="8">
    <mergeCell ref="A1:I1"/>
    <mergeCell ref="K1:S1"/>
    <mergeCell ref="A2:E2"/>
    <mergeCell ref="F2:I2"/>
    <mergeCell ref="K2:O2"/>
    <mergeCell ref="P2:S2"/>
    <mergeCell ref="B3:C3"/>
    <mergeCell ref="L3:M3"/>
  </mergeCells>
  <conditionalFormatting sqref="B$1:C$1048576;L$1:M$1048576">
    <cfRule type="cellIs" dxfId="3" priority="2" operator="equal">
      <formula>"G"</formula>
    </cfRule>
    <cfRule type="cellIs" dxfId="4" priority="3" operator="equal">
      <formula>"V"</formula>
    </cfRule>
    <cfRule type="cellIs" dxfId="5" priority="4" operator="equal">
      <formula>"M"</formula>
    </cfRule>
    <cfRule type="cellIs" dxfId="6" priority="5" operator="equal">
      <formula>"D"</formula>
    </cfRule>
    <cfRule type="cellIs" dxfId="7" priority="6" operator="equal">
      <formula>"X"</formula>
    </cfRule>
  </conditionalFormatting>
  <conditionalFormatting sqref="D$1:D$1048576;N$1:N$1048576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4:A42;O4:S42;K4:K42;E4:I42">
    <cfRule type="expression" dxfId="8" priority="35">
      <formula>MOD(ROW(),2)=1</formula>
    </cfRule>
    <cfRule type="expression" dxfId="9" priority="36">
      <formula>MOD(ROW(),2)=0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stat</vt:lpstr>
      <vt:lpstr>stuff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Tim</cp:lastModifiedBy>
  <dcterms:created xsi:type="dcterms:W3CDTF">2024-11-12T08:26:00Z</dcterms:created>
  <dcterms:modified xsi:type="dcterms:W3CDTF">2025-04-25T23:30:46Z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95E76CC4C6364DEEA474EB149A41FAF6_13</vt:lpwstr>
  </property>
  <property fmtid="{D5CDD505-2E9C-101B-9397-08002B2CF9AE}" pid="3" name="KSOProductBuildVer">
    <vt:lpwstr>1033-12.2.0.20795</vt:lpwstr>
  </property>
</Properties>
</file>